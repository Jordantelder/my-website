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Gap assessment" sheetId="2" state="visible" r:id="rId4"/>
    <sheet name="Dashboard" sheetId="3" state="visible" r:id="rId5"/>
    <sheet name="Model 2 minimum" sheetId="4" state="visible" r:id="rId6"/>
    <sheet name="820.35 and 820.45 checks" sheetId="5" state="visible" r:id="rId7"/>
    <sheet name="Crosswalk" sheetId="6" state="visible" r:id="rId8"/>
    <sheet name="Metrics" sheetId="7" state="visible" r:id="rId9"/>
    <sheet name="Roadmap" sheetId="8" state="visible" r:id="rId10"/>
  </sheets>
  <definedNames>
    <definedName function="false" hidden="false" localSheetId="4" name="_xlnm.Print_Titles" vbProcedure="false">'820.35 and 820.45 checks'!$1:$4</definedName>
    <definedName function="false" hidden="false" localSheetId="5" name="_xlnm.Print_Titles" vbProcedure="false">Crosswalk!$1:$4</definedName>
    <definedName function="false" hidden="false" localSheetId="2" name="_xlnm.Print_Titles" vbProcedure="false">Dashboard!$1:$3</definedName>
    <definedName function="false" hidden="false" localSheetId="1" name="_xlnm.Print_Titles" vbProcedure="false">'Gap assessment'!$1:$3</definedName>
    <definedName function="false" hidden="true" localSheetId="1" name="_xlnm._FilterDatabase" vbProcedure="false">'Gap assessment'!$A$3:$V$61</definedName>
    <definedName function="false" hidden="false" localSheetId="6" name="_xlnm.Print_Titles" vbProcedure="false">Metrics!$1:$4</definedName>
    <definedName function="false" hidden="false" localSheetId="3" name="_xlnm.Print_Titles" vbProcedure="false">'Model 2 minimum'!$1:$4</definedName>
    <definedName function="false" hidden="false" localSheetId="0" name="_xlnm.Print_Titles" vbProcedure="false">'Read me'!$1:$2</definedName>
    <definedName function="false" hidden="false" localSheetId="7" name="_xlnm.Print_Titles" vbProcedure="false">Roadmap!$1:$4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<sst xmlns="http://schemas.openxmlformats.org/spreadsheetml/2006/main" count="969" uniqueCount="576">
  <si>
    <t xml:space="preserve">QMSR Gap Assessment Workbook</t>
  </si>
  <si>
    <t xml:space="preserve">Companion to the seminar 'QMSR Transition: a strategic roadmap for shifting from FDA Part 820 to the Quality Management System Regulation'</t>
  </si>
  <si>
    <t xml:space="preserve">Purpose</t>
  </si>
  <si>
    <t xml:space="preserve">An evidence-based gap assessment against the Quality Management System Regulation (21 CFR Part 820, effective 2 February 2026) and the inspection process FDA uses to assess it, Compliance Program 7382.850.</t>
  </si>
  <si>
    <t xml:space="preserve">Why it is built this way</t>
  </si>
  <si>
    <t xml:space="preserve">The compliance program tests whether a process works, not whether a procedure exists. So the decisive column is 'What the evidence lacked', not 'procedure updated'. Rows are prioritised by inspection exposure rather than by clause order.</t>
  </si>
  <si>
    <t xml:space="preserve">How to use it</t>
  </si>
  <si>
    <t xml:space="preserve">1. On 'Gap assessment', set 'Applicable to us' for every row. Document any exclusion and its justification (for example Clause 7.3 under 21 CFR 820.10(c)).</t>
  </si>
  <si>
    <t xml:space="preserve">2. For each applicable row, name the current procedure or record, then SAMPLE A RECORD. Write what you sampled and what it lacked.</t>
  </si>
  <si>
    <t xml:space="preserve">3. Set 'Regulatory gap', 'Exposure' and 'Effort'. The 'Suggested exposure' column is a starting point, not an answer.</t>
  </si>
  <si>
    <t xml:space="preserve">4. Work the rows in priority-rank order. Assign an owner, a due date and a verification method.</t>
  </si>
  <si>
    <t xml:space="preserve">5. Review the 'Dashboard' with top management and record the decisions in management review.</t>
  </si>
  <si>
    <t xml:space="preserve">Cells to fill in</t>
  </si>
  <si>
    <t xml:space="preserve">Every cell with a pale yellow fill is an input. Columns A to H and every unshaded column carry reference data or formulas: do not overwrite them.</t>
  </si>
  <si>
    <t xml:space="preserve">Formula columns</t>
  </si>
  <si>
    <t xml:space="preserve">'Suggested exposure', 'Priority score' and 'Priority rank' on 'Gap assessment'; every figure on 'Dashboard'; the 'Status' column on 'Metrics'. These recalculate from your inputs.</t>
  </si>
  <si>
    <t xml:space="preserve">Priority score</t>
  </si>
  <si>
    <t xml:space="preserve">Exposure contributes 30 (High), 20 (Medium) or 10 (Low). A regulatory gap adds 5. Effort adds 3 (S), 2 (M) or 1 (L), so that among equal-exposure rows the cheaper fix ranks first. Change the weights in the formula if your risk appetite differs.</t>
  </si>
  <si>
    <t xml:space="preserve">Suggested exposure</t>
  </si>
  <si>
    <t xml:space="preserve">High where the element is in Compliance Program 7382.850 Model 2's minimum list, or in an area FDA officials ranked among the top Form 483 observation areas in early 2026. Medium otherwise. Override it with your own judgement.</t>
  </si>
  <si>
    <t xml:space="preserve">Sheets</t>
  </si>
  <si>
    <t xml:space="preserve">Read me · Gap assessment (58 elements) · Dashboard · Model 2 minimum · 820.35 and 820.45 checklists · Crosswalk · Metrics · Roadmap</t>
  </si>
  <si>
    <t xml:space="preserve">Sources</t>
  </si>
  <si>
    <t xml:space="preserve">Element list, Model 2 minimum list and inspection types: Compliance Program 7382.850, Inspection of Medical Device Manufacturers, implementation date 2 February 2026, Attachment A and Figures 1 to 3.</t>
  </si>
  <si>
    <t xml:space="preserve">Regulatory text: 21 CFR Part 820 as in force from 2 February 2026; final rule 89 FR 7496 (2 February 2024); correction 89 FR 82945 (15 October 2024); technical amendments 90 FR 55978 (4 December 2025).</t>
  </si>
  <si>
    <t xml:space="preserve">Top-cited observation areas: FDA officials' public remarks, February to June 2026 (risk management; outsourcing and purchasing; complaint handling and feedback; UDI; corrective action).</t>
  </si>
  <si>
    <t xml:space="preserve">The crosswalk is industry-authored. FDA declined to publish a mapping of the QS regulation to the QMSR (final rule, Comment 18); the only official mapping is the subpart-level Table 1 in the 2022 proposed rule, 87 FR 10119 at 10124.</t>
  </si>
  <si>
    <t xml:space="preserve">Verify before you rely on it</t>
  </si>
  <si>
    <t xml:space="preserve">Content was verified in September 2026. Regulations, FDA web pages and the compliance program change. Confirm against the primary sources before using this workbook as evidence.</t>
  </si>
  <si>
    <t xml:space="preserve">Prepared by</t>
  </si>
  <si>
    <t xml:space="preserve">Elder Consulting, LLC. Seminar material; not legal or regulatory advice.</t>
  </si>
  <si>
    <t xml:space="preserve">Example of a completed row</t>
  </si>
  <si>
    <t xml:space="preserve">Element</t>
  </si>
  <si>
    <t xml:space="preserve">Complaint Handling (MA&amp;I)</t>
  </si>
  <si>
    <t xml:space="preserve">Applicable</t>
  </si>
  <si>
    <t xml:space="preserve">Y</t>
  </si>
  <si>
    <t xml:space="preserve">Current procedure / record</t>
  </si>
  <si>
    <t xml:space="preserve">QP-822 rev 8; complaint form F-822-01 rev 3</t>
  </si>
  <si>
    <t xml:space="preserve">Evidence sampled</t>
  </si>
  <si>
    <t xml:space="preserve">20 complaint records closed Jan-Jun 2026, sampled from the eQMS log</t>
  </si>
  <si>
    <t xml:space="preserve">What the evidence lacked</t>
  </si>
  <si>
    <t xml:space="preserve">6 of 20 carry no UDI or other device identification (820.35(a)(3)); 4 of 20 carry no documented Part 803 reportability decision or rationale</t>
  </si>
  <si>
    <t xml:space="preserve">Reg. gap</t>
  </si>
  <si>
    <t xml:space="preserve">Exposure</t>
  </si>
  <si>
    <t xml:space="preserve">High</t>
  </si>
  <si>
    <t xml:space="preserve">Effort</t>
  </si>
  <si>
    <t xml:space="preserve">S</t>
  </si>
  <si>
    <t xml:space="preserve">Owner</t>
  </si>
  <si>
    <t xml:space="preserve">Complaints Manager</t>
  </si>
  <si>
    <t xml:space="preserve">Due</t>
  </si>
  <si>
    <t xml:space="preserve">2026-10-31</t>
  </si>
  <si>
    <t xml:space="preserve">Verification method</t>
  </si>
  <si>
    <t xml:space="preserve">Re-audit 20 records closed after the form revision; 100% carry UDI and a documented reportability decision</t>
  </si>
  <si>
    <t xml:space="preserve">Status</t>
  </si>
  <si>
    <t xml:space="preserve">In progress</t>
  </si>
  <si>
    <t xml:space="preserve">QMSR Gap Assessment: elements of Compliance Program 7382.850</t>
  </si>
  <si>
    <t xml:space="preserve">Pale yellow columns are inputs. Priority score and rank are formulas. Sample a record for every applicable row; 'What the evidence lacked' is the column that decides the assessment.</t>
  </si>
  <si>
    <t xml:space="preserve">ID</t>
  </si>
  <si>
    <t xml:space="preserve">QMS Area</t>
  </si>
  <si>
    <t xml:space="preserve">Element (CP 7382.850)</t>
  </si>
  <si>
    <t xml:space="preserve">ISO 13485:2016 clause(s)</t>
  </si>
  <si>
    <t xml:space="preserve">QMSR section(s)</t>
  </si>
  <si>
    <t xml:space="preserve">Former QSR section(s)</t>
  </si>
  <si>
    <t xml:space="preserve">Model 2 minimum</t>
  </si>
  <si>
    <t xml:space="preserve">Top-cited area 2026</t>
  </si>
  <si>
    <t xml:space="preserve">Applicable to us (Y/N)</t>
  </si>
  <si>
    <t xml:space="preserve">Evidence sampled (what, how many)</t>
  </si>
  <si>
    <t xml:space="preserve">Regulatory gap (Y/N)</t>
  </si>
  <si>
    <t xml:space="preserve">Exposure (High/Medium/Low)</t>
  </si>
  <si>
    <t xml:space="preserve">Effort (S/M/L)</t>
  </si>
  <si>
    <t xml:space="preserve">Priority rank</t>
  </si>
  <si>
    <t xml:space="preserve">Due date</t>
  </si>
  <si>
    <t xml:space="preserve">E-01</t>
  </si>
  <si>
    <t xml:space="preserve">Management Oversight</t>
  </si>
  <si>
    <t xml:space="preserve">Quality Management System</t>
  </si>
  <si>
    <t xml:space="preserve">4.1.1, 4.1.2, 4.1.3, 4.1.4</t>
  </si>
  <si>
    <t xml:space="preserve">820.10(a)</t>
  </si>
  <si>
    <t xml:space="preserve">820.5, 820.20</t>
  </si>
  <si>
    <t xml:space="preserve">N</t>
  </si>
  <si>
    <t xml:space="preserve">E-02</t>
  </si>
  <si>
    <t xml:space="preserve">Risk-based Approach</t>
  </si>
  <si>
    <t xml:space="preserve">4.1.2 b)</t>
  </si>
  <si>
    <t xml:space="preserve">(no direct predecessor)</t>
  </si>
  <si>
    <t xml:space="preserve">E-03</t>
  </si>
  <si>
    <t xml:space="preserve">QMS Software Validation</t>
  </si>
  <si>
    <t xml:space="preserve">4.1.6</t>
  </si>
  <si>
    <t xml:space="preserve">820.70(i)</t>
  </si>
  <si>
    <t xml:space="preserve">E-04</t>
  </si>
  <si>
    <t xml:space="preserve">Quality Manual</t>
  </si>
  <si>
    <t xml:space="preserve">4.2.2</t>
  </si>
  <si>
    <t xml:space="preserve">820.20(e), 820.186</t>
  </si>
  <si>
    <t xml:space="preserve">E-05</t>
  </si>
  <si>
    <t xml:space="preserve">Medical Device File</t>
  </si>
  <si>
    <t xml:space="preserve">4.2.3</t>
  </si>
  <si>
    <t xml:space="preserve">820.181 (DMR)</t>
  </si>
  <si>
    <t xml:space="preserve">E-06</t>
  </si>
  <si>
    <t xml:space="preserve">Control of Documents and Records</t>
  </si>
  <si>
    <t xml:space="preserve">4.2.1, 4.2.4, 4.2.5</t>
  </si>
  <si>
    <t xml:space="preserve">820.35, 820.45</t>
  </si>
  <si>
    <t xml:space="preserve">820.40, 820.180</t>
  </si>
  <si>
    <t xml:space="preserve">E-07</t>
  </si>
  <si>
    <t xml:space="preserve">Management Commitment</t>
  </si>
  <si>
    <t xml:space="preserve">5.1</t>
  </si>
  <si>
    <t xml:space="preserve">—</t>
  </si>
  <si>
    <t xml:space="preserve">820.20(a)</t>
  </si>
  <si>
    <t xml:space="preserve">E-08</t>
  </si>
  <si>
    <t xml:space="preserve">Customer Focus</t>
  </si>
  <si>
    <t xml:space="preserve">5.2</t>
  </si>
  <si>
    <t xml:space="preserve">E-09</t>
  </si>
  <si>
    <t xml:space="preserve">Quality Policy, Quality Objectives, QMS Planning</t>
  </si>
  <si>
    <t xml:space="preserve">5.3, 5.4.1, 5.4.2</t>
  </si>
  <si>
    <t xml:space="preserve">820.20(a), 820.20(d)</t>
  </si>
  <si>
    <t xml:space="preserve">E-10</t>
  </si>
  <si>
    <t xml:space="preserve">Responsibility, Authority, and Communication</t>
  </si>
  <si>
    <t xml:space="preserve">5.5.1, 5.5.2, 5.5.3</t>
  </si>
  <si>
    <t xml:space="preserve">820.20(b)</t>
  </si>
  <si>
    <t xml:space="preserve">E-11</t>
  </si>
  <si>
    <t xml:space="preserve">Management Review</t>
  </si>
  <si>
    <t xml:space="preserve">5.6.1, 5.6.2, 5.6.3</t>
  </si>
  <si>
    <t xml:space="preserve">820.20(c)</t>
  </si>
  <si>
    <t xml:space="preserve">E-12</t>
  </si>
  <si>
    <t xml:space="preserve">Provision of Resources</t>
  </si>
  <si>
    <t xml:space="preserve">6.1</t>
  </si>
  <si>
    <t xml:space="preserve">820.20(b)(1)</t>
  </si>
  <si>
    <t xml:space="preserve">E-13</t>
  </si>
  <si>
    <t xml:space="preserve">Human Resources</t>
  </si>
  <si>
    <t xml:space="preserve">6.2</t>
  </si>
  <si>
    <t xml:space="preserve">820.25</t>
  </si>
  <si>
    <t xml:space="preserve">E-14</t>
  </si>
  <si>
    <t xml:space="preserve">Planning of Product Realization</t>
  </si>
  <si>
    <t xml:space="preserve">7.1</t>
  </si>
  <si>
    <t xml:space="preserve">820.30(g) (risk analysis)</t>
  </si>
  <si>
    <t xml:space="preserve">E-15</t>
  </si>
  <si>
    <t xml:space="preserve">Design and Development</t>
  </si>
  <si>
    <t xml:space="preserve">Customer Related Processes</t>
  </si>
  <si>
    <t xml:space="preserve">7.2.1, 7.2.2, 7.2.3</t>
  </si>
  <si>
    <t xml:space="preserve">820.10(b)(4)</t>
  </si>
  <si>
    <t xml:space="preserve">820.30(c)</t>
  </si>
  <si>
    <t xml:space="preserve">E-16</t>
  </si>
  <si>
    <t xml:space="preserve">Design and Development General</t>
  </si>
  <si>
    <t xml:space="preserve">7.3.1</t>
  </si>
  <si>
    <t xml:space="preserve">820.10(c)</t>
  </si>
  <si>
    <t xml:space="preserve">820.30(a)</t>
  </si>
  <si>
    <t xml:space="preserve">E-17</t>
  </si>
  <si>
    <t xml:space="preserve">Design and Development Planning</t>
  </si>
  <si>
    <t xml:space="preserve">7.3.2</t>
  </si>
  <si>
    <t xml:space="preserve">820.30(b)</t>
  </si>
  <si>
    <t xml:space="preserve">E-18</t>
  </si>
  <si>
    <t xml:space="preserve">Design and Development Inputs</t>
  </si>
  <si>
    <t xml:space="preserve">7.3.3</t>
  </si>
  <si>
    <t xml:space="preserve">E-19</t>
  </si>
  <si>
    <t xml:space="preserve">Design and Development Outputs</t>
  </si>
  <si>
    <t xml:space="preserve">7.3.4</t>
  </si>
  <si>
    <t xml:space="preserve">820.30(d)</t>
  </si>
  <si>
    <t xml:space="preserve">E-20</t>
  </si>
  <si>
    <t xml:space="preserve">Design and Development Review</t>
  </si>
  <si>
    <t xml:space="preserve">7.3.5</t>
  </si>
  <si>
    <t xml:space="preserve">820.30(e)</t>
  </si>
  <si>
    <t xml:space="preserve">E-21</t>
  </si>
  <si>
    <t xml:space="preserve">Design and Development Verification</t>
  </si>
  <si>
    <t xml:space="preserve">7.3.6</t>
  </si>
  <si>
    <t xml:space="preserve">820.30(f)</t>
  </si>
  <si>
    <t xml:space="preserve">E-22</t>
  </si>
  <si>
    <t xml:space="preserve">Design and Development Software Validation</t>
  </si>
  <si>
    <t xml:space="preserve">7.3.7</t>
  </si>
  <si>
    <t xml:space="preserve">820.30(g)</t>
  </si>
  <si>
    <t xml:space="preserve">E-23</t>
  </si>
  <si>
    <t xml:space="preserve">Design and Development Validation</t>
  </si>
  <si>
    <t xml:space="preserve">E-24</t>
  </si>
  <si>
    <t xml:space="preserve">Design and Development Transfer</t>
  </si>
  <si>
    <t xml:space="preserve">7.3.8</t>
  </si>
  <si>
    <t xml:space="preserve">820.30(h)</t>
  </si>
  <si>
    <t xml:space="preserve">E-25</t>
  </si>
  <si>
    <t xml:space="preserve">Control of Design and Development Changes</t>
  </si>
  <si>
    <t xml:space="preserve">7.3.9</t>
  </si>
  <si>
    <t xml:space="preserve">820.30(i)</t>
  </si>
  <si>
    <t xml:space="preserve">E-26</t>
  </si>
  <si>
    <t xml:space="preserve">Design and Development Files</t>
  </si>
  <si>
    <t xml:space="preserve">7.3.10</t>
  </si>
  <si>
    <t xml:space="preserve">820.30(j) (DHF)</t>
  </si>
  <si>
    <t xml:space="preserve">E-27</t>
  </si>
  <si>
    <t xml:space="preserve">Production and Service Provision</t>
  </si>
  <si>
    <t xml:space="preserve">Infrastructure and Maintenance</t>
  </si>
  <si>
    <t xml:space="preserve">6.3</t>
  </si>
  <si>
    <t xml:space="preserve">820.70(f), 820.70(g)</t>
  </si>
  <si>
    <t xml:space="preserve">E-28</t>
  </si>
  <si>
    <t xml:space="preserve">Work Environment and Contamination Control</t>
  </si>
  <si>
    <t xml:space="preserve">6.4.1, 6.4.2</t>
  </si>
  <si>
    <t xml:space="preserve">820.70(c), 820.70(d), 820.70(e)</t>
  </si>
  <si>
    <t xml:space="preserve">E-29</t>
  </si>
  <si>
    <t xml:space="preserve">Control of Production and Service Provision</t>
  </si>
  <si>
    <t xml:space="preserve">7.5.1</t>
  </si>
  <si>
    <t xml:space="preserve">820.70(a), 820.120, 820.130</t>
  </si>
  <si>
    <t xml:space="preserve">E-30</t>
  </si>
  <si>
    <t xml:space="preserve">Cleanliness of Product</t>
  </si>
  <si>
    <t xml:space="preserve">7.5.2</t>
  </si>
  <si>
    <t xml:space="preserve">820.70(h)</t>
  </si>
  <si>
    <t xml:space="preserve">E-31</t>
  </si>
  <si>
    <t xml:space="preserve">Installation and Servicing Activities</t>
  </si>
  <si>
    <t xml:space="preserve">7.5.3, 7.5.4</t>
  </si>
  <si>
    <t xml:space="preserve">820.35</t>
  </si>
  <si>
    <t xml:space="preserve">820.170, 820.200</t>
  </si>
  <si>
    <t xml:space="preserve">E-32</t>
  </si>
  <si>
    <t xml:space="preserve">Validation of Processes for Production and Service Provision</t>
  </si>
  <si>
    <t xml:space="preserve">7.5.6</t>
  </si>
  <si>
    <t xml:space="preserve">820.75</t>
  </si>
  <si>
    <t xml:space="preserve">E-33</t>
  </si>
  <si>
    <t xml:space="preserve">Sterile Medical Devices and Validation of Processes for Sterilization and Sterile Barrier Systems</t>
  </si>
  <si>
    <t xml:space="preserve">7.5.5, 7.5.7</t>
  </si>
  <si>
    <t xml:space="preserve">820.75 (general)</t>
  </si>
  <si>
    <t xml:space="preserve">Y (sterile product only)</t>
  </si>
  <si>
    <t xml:space="preserve">E-34</t>
  </si>
  <si>
    <t xml:space="preserve">Identification and Traceability</t>
  </si>
  <si>
    <t xml:space="preserve">7.5.8, 7.5.9.1, 7.5.9.2</t>
  </si>
  <si>
    <t xml:space="preserve">820.10(b)(1), 820.10(b)(2), 820.10(d), 820.35, 820.45</t>
  </si>
  <si>
    <t xml:space="preserve">820.60, 820.65, 820.86</t>
  </si>
  <si>
    <t xml:space="preserve">E-35</t>
  </si>
  <si>
    <t xml:space="preserve">Customer Property</t>
  </si>
  <si>
    <t xml:space="preserve">7.5.10</t>
  </si>
  <si>
    <t xml:space="preserve">E-36</t>
  </si>
  <si>
    <t xml:space="preserve">Preservation of Product</t>
  </si>
  <si>
    <t xml:space="preserve">7.5.11</t>
  </si>
  <si>
    <t xml:space="preserve">820.140, 820.150, 820.160</t>
  </si>
  <si>
    <t xml:space="preserve">E-37</t>
  </si>
  <si>
    <t xml:space="preserve">Control of Monitoring and Measuring Equipment</t>
  </si>
  <si>
    <t xml:space="preserve">7.6</t>
  </si>
  <si>
    <t xml:space="preserve">820.72</t>
  </si>
  <si>
    <t xml:space="preserve">E-38</t>
  </si>
  <si>
    <t xml:space="preserve">Measurement, Analysis, and Improvement</t>
  </si>
  <si>
    <t xml:space="preserve">Measurement, Analysis, and Improvement - General</t>
  </si>
  <si>
    <t xml:space="preserve">8.1, 8.5.1</t>
  </si>
  <si>
    <t xml:space="preserve">820.100(a)</t>
  </si>
  <si>
    <t xml:space="preserve">E-39</t>
  </si>
  <si>
    <t xml:space="preserve">Feedback</t>
  </si>
  <si>
    <t xml:space="preserve">8.2.1</t>
  </si>
  <si>
    <t xml:space="preserve">820.198(a)</t>
  </si>
  <si>
    <t xml:space="preserve">E-40</t>
  </si>
  <si>
    <t xml:space="preserve">Complaint Handling</t>
  </si>
  <si>
    <t xml:space="preserve">8.2.2, 8.2.3</t>
  </si>
  <si>
    <t xml:space="preserve">820.10(b)(3), 820.10(b)(4), 820.35</t>
  </si>
  <si>
    <t xml:space="preserve">820.198</t>
  </si>
  <si>
    <t xml:space="preserve">E-41</t>
  </si>
  <si>
    <t xml:space="preserve">Internal Audits</t>
  </si>
  <si>
    <t xml:space="preserve">8.2.4</t>
  </si>
  <si>
    <t xml:space="preserve">820.22</t>
  </si>
  <si>
    <t xml:space="preserve">E-42</t>
  </si>
  <si>
    <t xml:space="preserve">Monitoring and Measurement of Processes</t>
  </si>
  <si>
    <t xml:space="preserve">8.2.5</t>
  </si>
  <si>
    <t xml:space="preserve">820.70(a), 820.75(b)</t>
  </si>
  <si>
    <t xml:space="preserve">E-43</t>
  </si>
  <si>
    <t xml:space="preserve">Monitoring and Measurement of Product</t>
  </si>
  <si>
    <t xml:space="preserve">8.2.6</t>
  </si>
  <si>
    <t xml:space="preserve">820.80, 820.86</t>
  </si>
  <si>
    <t xml:space="preserve">E-44</t>
  </si>
  <si>
    <t xml:space="preserve">Control of Nonconforming Product</t>
  </si>
  <si>
    <t xml:space="preserve">8.3.1, 8.3.2, 8.3.3, 8.3.4</t>
  </si>
  <si>
    <t xml:space="preserve">820.10(b)(4), 820.3(b) rework</t>
  </si>
  <si>
    <t xml:space="preserve">820.90</t>
  </si>
  <si>
    <t xml:space="preserve">E-45</t>
  </si>
  <si>
    <t xml:space="preserve">Analysis of Data</t>
  </si>
  <si>
    <t xml:space="preserve">8.4</t>
  </si>
  <si>
    <t xml:space="preserve">820.250</t>
  </si>
  <si>
    <t xml:space="preserve">E-46</t>
  </si>
  <si>
    <t xml:space="preserve">Corrective Action</t>
  </si>
  <si>
    <t xml:space="preserve">8.5.2</t>
  </si>
  <si>
    <t xml:space="preserve">820.100</t>
  </si>
  <si>
    <t xml:space="preserve">E-47</t>
  </si>
  <si>
    <t xml:space="preserve">Preventive Action</t>
  </si>
  <si>
    <t xml:space="preserve">8.5.3</t>
  </si>
  <si>
    <t xml:space="preserve">E-48</t>
  </si>
  <si>
    <t xml:space="preserve">Outsourcing and Purchasing</t>
  </si>
  <si>
    <t xml:space="preserve">Outsourcing</t>
  </si>
  <si>
    <t xml:space="preserve">4.1.5</t>
  </si>
  <si>
    <t xml:space="preserve">820.50</t>
  </si>
  <si>
    <t xml:space="preserve">E-49</t>
  </si>
  <si>
    <t xml:space="preserve">Purchasing Process</t>
  </si>
  <si>
    <t xml:space="preserve">7.4.1</t>
  </si>
  <si>
    <t xml:space="preserve">820.50(a)</t>
  </si>
  <si>
    <t xml:space="preserve">E-50</t>
  </si>
  <si>
    <t xml:space="preserve">Purchasing Information and Purchased Product</t>
  </si>
  <si>
    <t xml:space="preserve">7.4.2, 7.4.3</t>
  </si>
  <si>
    <t xml:space="preserve">820.50(b), 820.80(b)</t>
  </si>
  <si>
    <t xml:space="preserve">E-51</t>
  </si>
  <si>
    <t xml:space="preserve">Change Control</t>
  </si>
  <si>
    <t xml:space="preserve">QMS Changes</t>
  </si>
  <si>
    <t xml:space="preserve">4.1.4, 4.2.4, 4.2.5, 5.4.2, 5.6.1, 5.6.2, 5.6.3, 8.5.1</t>
  </si>
  <si>
    <t xml:space="preserve">820.40, 820.20(d)</t>
  </si>
  <si>
    <t xml:space="preserve">E-52</t>
  </si>
  <si>
    <t xml:space="preserve">Software Changes</t>
  </si>
  <si>
    <t xml:space="preserve">4.1.6, 7.5.6, 7.6</t>
  </si>
  <si>
    <t xml:space="preserve">E-53</t>
  </si>
  <si>
    <t xml:space="preserve">Product and Process Changes</t>
  </si>
  <si>
    <t xml:space="preserve">4.1.4, 7.2.2, 7.3.9, 7.3.10, 7.5.6, 7.5.7</t>
  </si>
  <si>
    <t xml:space="preserve">820.30(i), 820.70(b), 820.75(c)</t>
  </si>
  <si>
    <t xml:space="preserve">E-54</t>
  </si>
  <si>
    <t xml:space="preserve">Purchasing Changes</t>
  </si>
  <si>
    <t xml:space="preserve">820.50(b)</t>
  </si>
  <si>
    <t xml:space="preserve">E-55</t>
  </si>
  <si>
    <t xml:space="preserve">OAFR</t>
  </si>
  <si>
    <t xml:space="preserve">Medical Device Reporting</t>
  </si>
  <si>
    <t xml:space="preserve">8.2.3</t>
  </si>
  <si>
    <t xml:space="preserve">21 CFR 803; 820.10(b)(3)</t>
  </si>
  <si>
    <t xml:space="preserve">820.198(a)(3)</t>
  </si>
  <si>
    <t xml:space="preserve">Y (all models)</t>
  </si>
  <si>
    <t xml:space="preserve">E-56</t>
  </si>
  <si>
    <t xml:space="preserve">Reports of Corrections and Removals</t>
  </si>
  <si>
    <t xml:space="preserve">8.3.3</t>
  </si>
  <si>
    <t xml:space="preserve">21 CFR 806; 820.10(b)(4)</t>
  </si>
  <si>
    <t xml:space="preserve">E-57</t>
  </si>
  <si>
    <t xml:space="preserve">Medical Device Tracking Requirements</t>
  </si>
  <si>
    <t xml:space="preserve">7.5.9.1</t>
  </si>
  <si>
    <t xml:space="preserve">21 CFR 821; 820.10(b)(2)</t>
  </si>
  <si>
    <t xml:space="preserve">820.65</t>
  </si>
  <si>
    <t xml:space="preserve">Y (all models, where a tracking order applies)</t>
  </si>
  <si>
    <t xml:space="preserve">E-58</t>
  </si>
  <si>
    <t xml:space="preserve">Unique Device Identification</t>
  </si>
  <si>
    <t xml:space="preserve">7.5.8</t>
  </si>
  <si>
    <t xml:space="preserve">21 CFR 830; 820.45; 820.10(b)(1)</t>
  </si>
  <si>
    <t xml:space="preserve">820.60, 820.120</t>
  </si>
  <si>
    <t xml:space="preserve">Dashboard</t>
  </si>
  <si>
    <t xml:space="preserve">Every figure is a formula over 'Gap assessment'. Take the top block to management review.</t>
  </si>
  <si>
    <t xml:space="preserve">Headline readiness</t>
  </si>
  <si>
    <t xml:space="preserve">Count</t>
  </si>
  <si>
    <t xml:space="preserve">Elements in the assessment</t>
  </si>
  <si>
    <t xml:space="preserve">Elements marked applicable</t>
  </si>
  <si>
    <t xml:space="preserve">Elements with evidence sampled</t>
  </si>
  <si>
    <t xml:space="preserve">Applicable elements NOT yet sampled</t>
  </si>
  <si>
    <t xml:space="preserve">Regulatory gaps identified</t>
  </si>
  <si>
    <t xml:space="preserve">Inspection-critical gaps (gap = Y and exposure = High)</t>
  </si>
  <si>
    <t xml:space="preserve">Inspection-critical gaps still open (not Closed)</t>
  </si>
  <si>
    <t xml:space="preserve">Gaps with no owner assigned</t>
  </si>
  <si>
    <t xml:space="preserve">Gaps closed</t>
  </si>
  <si>
    <t xml:space="preserve">By QMS Area</t>
  </si>
  <si>
    <t xml:space="preserve">Elements</t>
  </si>
  <si>
    <t xml:space="preserve">Sampled</t>
  </si>
  <si>
    <t xml:space="preserve">Gaps</t>
  </si>
  <si>
    <t xml:space="preserve">High-exposure gaps</t>
  </si>
  <si>
    <t xml:space="preserve">Closed</t>
  </si>
  <si>
    <t xml:space="preserve">Total</t>
  </si>
  <si>
    <t xml:space="preserve">Status of applicable elements</t>
  </si>
  <si>
    <t xml:space="preserve">Not started</t>
  </si>
  <si>
    <t xml:space="preserve">Not applicable</t>
  </si>
  <si>
    <t xml:space="preserve">(blank)</t>
  </si>
  <si>
    <t xml:space="preserve">Exit criterion for the Assess phase</t>
  </si>
  <si>
    <t xml:space="preserve">Met?</t>
  </si>
  <si>
    <t xml:space="preserve">Every applicable element sampled with at least one record</t>
  </si>
  <si>
    <t xml:space="preserve">No inspection-critical gap left open</t>
  </si>
  <si>
    <t xml:space="preserve">Every gap has a named owner</t>
  </si>
  <si>
    <t xml:space="preserve">Compliance Program 7382.850, Figure 2: Inspection Model 2 minimum elements</t>
  </si>
  <si>
    <t xml:space="preserve">Model 2 applies to baseline surveillance inspections (no FDA inspection or MDSAP audit history, or risk factors indicating a need) and to PMA preapproval inspections. 22 elements, or 23 where the product is sterile. Model 1, used for every other inspection type, requires at least one element from each of the six QMS Areas plus all four OAFRs. Both models are minimums; FDA has said investigators routinely evaluate more.</t>
  </si>
  <si>
    <t xml:space="preserve">Note</t>
  </si>
  <si>
    <t xml:space="preserve">QMS Area elements prescribed for Model 2</t>
  </si>
  <si>
    <t xml:space="preserve">For sterile product only</t>
  </si>
  <si>
    <t xml:space="preserve">Other Applicable FDA Requirements (evaluated under both models)</t>
  </si>
  <si>
    <t xml:space="preserve">Evaluated in every risk-based inspection except PMA preapproval</t>
  </si>
  <si>
    <t xml:space="preserve">Evaluated in every risk-based inspection except PMA preapproval (where a tracking order was issued)</t>
  </si>
  <si>
    <t xml:space="preserve">Reading the counts</t>
  </si>
  <si>
    <t xml:space="preserve">23 QMS Area elements are listed, of which the sterile-product element applies only to sterile product: 23 for sterile product, 22 for non-sterile. The four OAFRs and the general items (registration and listing, marketing authorizations, previous 483 and compliance issues, and any areas defined in the assignment) are additional under both models.</t>
  </si>
  <si>
    <t xml:space="preserve">Record content checklists: 21 CFR 820.35 and 820.45</t>
  </si>
  <si>
    <t xml:space="preserve">Run these against your own templates and against sampled records. Pale yellow columns are inputs. These are the two provisions ISO 13485-certified firms most often had to add.</t>
  </si>
  <si>
    <t xml:space="preserve">Provision</t>
  </si>
  <si>
    <t xml:space="preserve">Requirement</t>
  </si>
  <si>
    <t xml:space="preserve">Met? (Y/N/NA)</t>
  </si>
  <si>
    <t xml:space="preserve">Evidence or gap</t>
  </si>
  <si>
    <t xml:space="preserve">§820.35(a)</t>
  </si>
  <si>
    <t xml:space="preserve">Records of the review, evaluation and investigation are maintained for any complaint involving the possible failure of a device, labeling or packaging to meet any of its specifications</t>
  </si>
  <si>
    <t xml:space="preserve">Where a similar complaint was already investigated and no new investigation is performed, records document the justification</t>
  </si>
  <si>
    <t xml:space="preserve">§820.35(a)(1)</t>
  </si>
  <si>
    <t xml:space="preserve">The name of the device is recorded</t>
  </si>
  <si>
    <t xml:space="preserve">§820.35(a)(2)</t>
  </si>
  <si>
    <t xml:space="preserve">The date the complaint was received is recorded</t>
  </si>
  <si>
    <t xml:space="preserve">§820.35(a)(3)</t>
  </si>
  <si>
    <t xml:space="preserve">Any UDI or UPC, and any other device identification, is recorded</t>
  </si>
  <si>
    <t xml:space="preserve">§820.35(a)(4)</t>
  </si>
  <si>
    <t xml:space="preserve">The name, address and phone number of the complainant is recorded</t>
  </si>
  <si>
    <t xml:space="preserve">§820.35(a)(5)</t>
  </si>
  <si>
    <t xml:space="preserve">The nature and details of the complaint are recorded</t>
  </si>
  <si>
    <t xml:space="preserve">§820.35(a)(6)</t>
  </si>
  <si>
    <t xml:space="preserve">Any correction or corrective action taken is recorded</t>
  </si>
  <si>
    <t xml:space="preserve">§820.35(a)(7)</t>
  </si>
  <si>
    <t xml:space="preserve">Any reply to the complainant is recorded</t>
  </si>
  <si>
    <t xml:space="preserve">§820.10(b)(3)</t>
  </si>
  <si>
    <t xml:space="preserve">The Part 803 reportability decision and its rationale are documented for each complaint</t>
  </si>
  <si>
    <t xml:space="preserve">§820.35(b)(1)</t>
  </si>
  <si>
    <t xml:space="preserve">Servicing record: the name of the device serviced</t>
  </si>
  <si>
    <t xml:space="preserve">§820.35(b)(2)</t>
  </si>
  <si>
    <t xml:space="preserve">Servicing record: any UDI or UPC, and other device identification</t>
  </si>
  <si>
    <t xml:space="preserve">§820.35(b)(3)</t>
  </si>
  <si>
    <t xml:space="preserve">Servicing record: the date of service</t>
  </si>
  <si>
    <t xml:space="preserve">§820.35(b)(4)</t>
  </si>
  <si>
    <t xml:space="preserve">Servicing record: the individual(s) who serviced the device</t>
  </si>
  <si>
    <t xml:space="preserve">§820.35(b)(5)</t>
  </si>
  <si>
    <t xml:space="preserve">Servicing record: the service performed</t>
  </si>
  <si>
    <t xml:space="preserve">§820.35(b)(6)</t>
  </si>
  <si>
    <t xml:space="preserve">Servicing record: any test and inspection data, where the QMS generates such data as part of servicing</t>
  </si>
  <si>
    <t xml:space="preserve">Clause 7.5.4</t>
  </si>
  <si>
    <t xml:space="preserve">Servicing records are analysed to determine whether the information is to be handled as a complaint</t>
  </si>
  <si>
    <t xml:space="preserve">§820.35(c)</t>
  </si>
  <si>
    <t xml:space="preserve">The UDI is recorded for each medical device or batch of medical devices</t>
  </si>
  <si>
    <t xml:space="preserve">§820.35(d)</t>
  </si>
  <si>
    <t xml:space="preserve">Records the firm deems confidential are marked, before an inspection, to aid FDA disclosure determinations under Part 20</t>
  </si>
  <si>
    <t xml:space="preserve">§820.45 intro</t>
  </si>
  <si>
    <t xml:space="preserve">Documented procedures describe the activities that ensure the integrity, inspection, storage and operations for labeling and packaging</t>
  </si>
  <si>
    <t xml:space="preserve">§820.45(a)(1)</t>
  </si>
  <si>
    <t xml:space="preserve">Labeling examined for accuracy before release or storage: correct UDI or UPC, or other device identification</t>
  </si>
  <si>
    <t xml:space="preserve">§820.45(a)(2)</t>
  </si>
  <si>
    <t xml:space="preserve">Labeling examined for accuracy: expiration date</t>
  </si>
  <si>
    <t xml:space="preserve">§820.45(a)(3)</t>
  </si>
  <si>
    <t xml:space="preserve">Labeling examined for accuracy: storage instructions</t>
  </si>
  <si>
    <t xml:space="preserve">§820.45(a)(4)</t>
  </si>
  <si>
    <t xml:space="preserve">Labeling examined for accuracy: handling instructions</t>
  </si>
  <si>
    <t xml:space="preserve">§820.45(a)(5)</t>
  </si>
  <si>
    <t xml:space="preserve">Labeling examined for accuracy: any additional processing instructions</t>
  </si>
  <si>
    <t xml:space="preserve">§820.45(b)</t>
  </si>
  <si>
    <t xml:space="preserve">The release of the labeling for use is documented in accordance with Clause 4.2.5</t>
  </si>
  <si>
    <t xml:space="preserve">§820.45(c)</t>
  </si>
  <si>
    <t xml:space="preserve">Labeling and packaging operations prevent mix-ups, including inspection before use against the medical device file, with results documented</t>
  </si>
  <si>
    <t xml:space="preserve">Where automated readers are used, a designated individual examines at minimum a representative sample of the labels checked</t>
  </si>
  <si>
    <t xml:space="preserve">Items met</t>
  </si>
  <si>
    <t xml:space="preserve">Items not met</t>
  </si>
  <si>
    <t xml:space="preserve">Items not yet assessed</t>
  </si>
  <si>
    <t xml:space="preserve">Crosswalk: former QS regulation to ISO 13485:2016 and the QMSR</t>
  </si>
  <si>
    <t xml:space="preserve">Industry-authored. FDA declined to publish a mapping of the QS regulation to the QMSR (final rule, Comment 18). The only official mapping is the subpart-level Table 1 in the 2022 proposed rule. Use this to orient, not as evidence.</t>
  </si>
  <si>
    <t xml:space="preserve">Former QSR section</t>
  </si>
  <si>
    <t xml:space="preserve">QMSR supplement</t>
  </si>
  <si>
    <t xml:space="preserve">Substantive delta to test with evidence</t>
  </si>
  <si>
    <t xml:space="preserve">820.5 Quality system</t>
  </si>
  <si>
    <t xml:space="preserve">4.1</t>
  </si>
  <si>
    <t xml:space="preserve">§820.10(a)</t>
  </si>
  <si>
    <t xml:space="preserve">Risk-based approach to QMS processes (4.1.2 b); outsourced processes (4.1.5); QMS software validation (4.1.6)</t>
  </si>
  <si>
    <t xml:space="preserve">820.20 Management responsibility</t>
  </si>
  <si>
    <t xml:space="preserve">5.1-5.6</t>
  </si>
  <si>
    <t xml:space="preserve">-</t>
  </si>
  <si>
    <t xml:space="preserve">'Top management' replaces 'management with executive responsibility'; management review inputs (5.6.2) now inspectable</t>
  </si>
  <si>
    <t xml:space="preserve">820.22 Quality audit</t>
  </si>
  <si>
    <t xml:space="preserve">Audit reports reviewable by FDA; the audit programme should cover the six QMS Areas and risk integration</t>
  </si>
  <si>
    <t xml:space="preserve">820.25 Personnel</t>
  </si>
  <si>
    <t xml:space="preserve">Competence on education, training, skills and experience; training effectiveness proportionate to risk</t>
  </si>
  <si>
    <t xml:space="preserve">820.30 Design controls</t>
  </si>
  <si>
    <t xml:space="preserve">7.3.1-7.3.10</t>
  </si>
  <si>
    <t xml:space="preserve">§820.10(c)</t>
  </si>
  <si>
    <t xml:space="preserve">Design and development file (7.3.10); the explicit independent reviewer of 820.30(e) is not carried over; risk management in 7.1</t>
  </si>
  <si>
    <t xml:space="preserve">820.40 Document controls</t>
  </si>
  <si>
    <t xml:space="preserve">4.2.4, 4.2.5</t>
  </si>
  <si>
    <t xml:space="preserve">§820.35</t>
  </si>
  <si>
    <t xml:space="preserve">'Document' means establish, implement and maintain (Clause 0.2); records readily identifiable and retrievable</t>
  </si>
  <si>
    <t xml:space="preserve">820.50 Purchasing controls</t>
  </si>
  <si>
    <t xml:space="preserve">7.4.1-7.4.3</t>
  </si>
  <si>
    <t xml:space="preserve">Criteria, monitoring and re-evaluation proportionate to risk; supplier audit reports reviewable; outsourced processes under 4.1.5</t>
  </si>
  <si>
    <t xml:space="preserve">820.60 Identification</t>
  </si>
  <si>
    <t xml:space="preserve">§820.10(b)(1)</t>
  </si>
  <si>
    <t xml:space="preserve">UDI system documented per Part 830; UDI recorded per device or batch (§820.35(c))</t>
  </si>
  <si>
    <t xml:space="preserve">820.65 Traceability</t>
  </si>
  <si>
    <t xml:space="preserve">7.5.9.1, 7.5.9.2</t>
  </si>
  <si>
    <t xml:space="preserve">§820.10(b)(2), §820.10(d)</t>
  </si>
  <si>
    <t xml:space="preserve">Old 820.65 withdrawn; implant traceability extended to life-supporting and life-sustaining devices</t>
  </si>
  <si>
    <t xml:space="preserve">820.70 Production and process controls</t>
  </si>
  <si>
    <t xml:space="preserve">7.5.1, 6.3, 6.4.1, 6.4.2, 7.5.2</t>
  </si>
  <si>
    <t xml:space="preserve">§820.45</t>
  </si>
  <si>
    <t xml:space="preserve">Contamination control (6.4.2); process agents (7.5.2); software validation (4.1.6, 7.5.6, 7.6)</t>
  </si>
  <si>
    <t xml:space="preserve">820.72 Inspection, measuring and test equipment</t>
  </si>
  <si>
    <t xml:space="preserve">Also requires validation of software used for monitoring and measurement</t>
  </si>
  <si>
    <t xml:space="preserve">820.75 Process validation</t>
  </si>
  <si>
    <t xml:space="preserve">7.5.6, 7.5.7</t>
  </si>
  <si>
    <t xml:space="preserve">The QMSR does not define 'process validation'; revalidation criteria must be defined; 7.5.7 explicit for sterile devices</t>
  </si>
  <si>
    <t xml:space="preserve">820.80 / 820.86 Acceptance activities and status</t>
  </si>
  <si>
    <t xml:space="preserve">7.4.3, 8.2.6, 7.5.8</t>
  </si>
  <si>
    <t xml:space="preserve">Purchased product verification proportionate to risk; product status identification</t>
  </si>
  <si>
    <t xml:space="preserve">820.90 Nonconforming product</t>
  </si>
  <si>
    <t xml:space="preserve">8.3.1-8.3.4</t>
  </si>
  <si>
    <t xml:space="preserve">§820.3(b) rework; §820.10(b)(4)</t>
  </si>
  <si>
    <t xml:space="preserve">Concessions need justification and approval; rework only before release for distribution; post-distribution actions are Part 806</t>
  </si>
  <si>
    <t xml:space="preserve">820.100 Corrective and preventive action</t>
  </si>
  <si>
    <t xml:space="preserve">8.5.1, 8.5.2, 8.5.3</t>
  </si>
  <si>
    <t xml:space="preserve">Correction, corrective action and preventive action are distinct (ISO 9000); effectiveness verified; feedback as an input</t>
  </si>
  <si>
    <t xml:space="preserve">820.120 / 820.130 Device labeling and packaging</t>
  </si>
  <si>
    <t xml:space="preserve">Five-point examination before release or storage; documented release; mix-up prevention; human oversight of automated readers</t>
  </si>
  <si>
    <t xml:space="preserve">820.140 / 820.150 / 820.160 Handling, storage, distribution</t>
  </si>
  <si>
    <t xml:space="preserve">7.5.11, 7.5.9.2</t>
  </si>
  <si>
    <t xml:space="preserve">§820.10(d)</t>
  </si>
  <si>
    <t xml:space="preserve">Risk-based preservation; consignee distribution records where 7.5.9.2 applies; obsolete product covered by 7.5.11</t>
  </si>
  <si>
    <t xml:space="preserve">820.170 Installation</t>
  </si>
  <si>
    <t xml:space="preserve">7.5.3</t>
  </si>
  <si>
    <t xml:space="preserve">No FDA supplement</t>
  </si>
  <si>
    <t xml:space="preserve">820.180 Records, general requirements</t>
  </si>
  <si>
    <t xml:space="preserve">4.2.5</t>
  </si>
  <si>
    <t xml:space="preserve">§820.35(a)-(d)</t>
  </si>
  <si>
    <t xml:space="preserve">The §820.180(c) exemption for management review, quality audit and supplier audit reports is removed; confidentiality marking retained in §820.35(d)</t>
  </si>
  <si>
    <t xml:space="preserve">820.181 Device master record</t>
  </si>
  <si>
    <t xml:space="preserve">Specifications and procedures now live in the medical device file; final design output is its starting point</t>
  </si>
  <si>
    <t xml:space="preserve">820.184 Device history record</t>
  </si>
  <si>
    <t xml:space="preserve">7.5.1, 7.5.8, 7.5.9</t>
  </si>
  <si>
    <t xml:space="preserve">No defined record type; content required in the medical device or batch record; UDI recorded per device or batch</t>
  </si>
  <si>
    <t xml:space="preserve">820.186 Quality system record</t>
  </si>
  <si>
    <t xml:space="preserve">4.2</t>
  </si>
  <si>
    <t xml:space="preserve">No defined record type; quality manual (4.2.2), documents (4.2.4), records (4.2.5)</t>
  </si>
  <si>
    <t xml:space="preserve">820.198 Complaint files</t>
  </si>
  <si>
    <t xml:space="preserve">8.2.1, 8.2.2, 8.2.3</t>
  </si>
  <si>
    <t xml:space="preserve">§820.35(a); §820.10(b)(3)</t>
  </si>
  <si>
    <t xml:space="preserve">Seven record elements; documented justification when a similar complaint was already investigated; MDR evaluation under Part 803</t>
  </si>
  <si>
    <t xml:space="preserve">820.200 Servicing</t>
  </si>
  <si>
    <t xml:space="preserve">7.5.4</t>
  </si>
  <si>
    <t xml:space="preserve">§820.35(b)</t>
  </si>
  <si>
    <t xml:space="preserve">Six servicing record elements including UDI; servicing records analysed to decide whether the information is a complaint</t>
  </si>
  <si>
    <t xml:space="preserve">820.250 Statistical techniques</t>
  </si>
  <si>
    <t xml:space="preserve">Documented procedures for analysis of data; FDA recommends quantitative data commensurate with risk</t>
  </si>
  <si>
    <t xml:space="preserve">Readiness metrics for management review</t>
  </si>
  <si>
    <t xml:space="preserve">Choose five. Enter your actual in the pale yellow column; Status is a formula. Percentages are stored as fractions, so enter 0.95 for 95%.</t>
  </si>
  <si>
    <t xml:space="preserve">Readiness metric</t>
  </si>
  <si>
    <t xml:space="preserve">Target</t>
  </si>
  <si>
    <t xml:space="preserve">Actual</t>
  </si>
  <si>
    <t xml:space="preserve">Test</t>
  </si>
  <si>
    <t xml:space="preserve">Data source</t>
  </si>
  <si>
    <t xml:space="preserve">Comment / action</t>
  </si>
  <si>
    <t xml:space="preserve">CP 7382.850 elements with evidence sampled in the last 12 months</t>
  </si>
  <si>
    <t xml:space="preserve">&gt;=</t>
  </si>
  <si>
    <t xml:space="preserve">Gap workbook</t>
  </si>
  <si>
    <t xml:space="preserve">Open inspection-critical gaps (high exposure, true regulatory gap)</t>
  </si>
  <si>
    <t xml:space="preserve">&lt;=</t>
  </si>
  <si>
    <t xml:space="preserve">Median minutes to produce a requested record</t>
  </si>
  <si>
    <t xml:space="preserve">Retrieval drills</t>
  </si>
  <si>
    <t xml:space="preserve">Complaint records complete against the §820.35(a) elements</t>
  </si>
  <si>
    <t xml:space="preserve">Complaint system audit</t>
  </si>
  <si>
    <t xml:space="preserve">Servicing records with UDI and all required elements</t>
  </si>
  <si>
    <t xml:space="preserve">Service records audit</t>
  </si>
  <si>
    <t xml:space="preserve">Lots with a documented five-point label examination and release</t>
  </si>
  <si>
    <t xml:space="preserve">Batch records</t>
  </si>
  <si>
    <t xml:space="preserve">Risk files updated after complaint, CAPA or change triggers</t>
  </si>
  <si>
    <t xml:space="preserve">Risk management system</t>
  </si>
  <si>
    <t xml:space="preserve">CAPAs closed with effectiveness data</t>
  </si>
  <si>
    <t xml:space="preserve">CAPA system</t>
  </si>
  <si>
    <t xml:space="preserve">Critical suppliers with risk-tiered controls and a current evaluation</t>
  </si>
  <si>
    <t xml:space="preserve">Supplier files</t>
  </si>
  <si>
    <t xml:space="preserve">Internal audit coverage of the six QMS Areas and four OAFRs</t>
  </si>
  <si>
    <t xml:space="preserve">Audit programme</t>
  </si>
  <si>
    <t xml:space="preserve">Management review actions closed on time</t>
  </si>
  <si>
    <t xml:space="preserve">Management review log</t>
  </si>
  <si>
    <t xml:space="preserve">Competence verified for high-risk processes (beyond read-and-sign)</t>
  </si>
  <si>
    <t xml:space="preserve">Training records</t>
  </si>
  <si>
    <t xml:space="preserve">Transition roadmap: five phases, two tracks</t>
  </si>
  <si>
    <t xml:space="preserve">Track A: transition complete, verifying and hardening for the first inspection. Track B: still closing gaps, compressing phases 1 to 4 into 90 days, load-bearing provisions first. Pale yellow columns are inputs.</t>
  </si>
  <si>
    <t xml:space="preserve">Phase</t>
  </si>
  <si>
    <t xml:space="preserve">Deliverable</t>
  </si>
  <si>
    <t xml:space="preserve">Exit criterion</t>
  </si>
  <si>
    <t xml:space="preserve">Track A action</t>
  </si>
  <si>
    <t xml:space="preserve">Track B timing</t>
  </si>
  <si>
    <t xml:space="preserve">0  Mobilize</t>
  </si>
  <si>
    <t xml:space="preserve">Charter, executive sponsor, scope and applicability statement (products, sites, Part 4 applicability, Class I exclusions), one named owner per QMS process</t>
  </si>
  <si>
    <t xml:space="preserve">100% of QMS processes have a named owner</t>
  </si>
  <si>
    <t xml:space="preserve">Confirm owners; refresh the applicability statement</t>
  </si>
  <si>
    <t xml:space="preserve">Week 1</t>
  </si>
  <si>
    <t xml:space="preserve">1  Assess</t>
  </si>
  <si>
    <t xml:space="preserve">Evidence-based gap workbook covering every CP 7382.850 element, with an exposure-weighted heat map</t>
  </si>
  <si>
    <t xml:space="preserve">Every applicable requirement sampled with at least one record; heat map approved by top management</t>
  </si>
  <si>
    <t xml:space="preserve">Re-run on high-exposure rows only</t>
  </si>
  <si>
    <t xml:space="preserve">Weeks 1-3</t>
  </si>
  <si>
    <t xml:space="preserve">2  Design</t>
  </si>
  <si>
    <t xml:space="preserve">Document architecture decision (rewrite, bridge or hybrid); controlled definitions table; procedure change list; template changes for complaint, service, label release, supplier file and management review agenda</t>
  </si>
  <si>
    <t xml:space="preserve">Every gap linked to a specific change with an owner and a date</t>
  </si>
  <si>
    <t xml:space="preserve">Confirm templates carry the §820.35 and §820.45 elements</t>
  </si>
  <si>
    <t xml:space="preserve">Weeks 3-5</t>
  </si>
  <si>
    <t xml:space="preserve">3  Implement and train</t>
  </si>
  <si>
    <t xml:space="preserve">Revised procedures effective; templates live; competence verified with methods proportionate to risk (Clause 6.2)</t>
  </si>
  <si>
    <t xml:space="preserve">% procedures effective; % staff competence-verified; % new records on the new templates in the first 30 days</t>
  </si>
  <si>
    <t xml:space="preserve">Refresh training for front-room staff</t>
  </si>
  <si>
    <t xml:space="preserve">Weeks 5-9</t>
  </si>
  <si>
    <t xml:space="preserve">4  Verify</t>
  </si>
  <si>
    <t xml:space="preserve">Internal audit conducted the way CP 7382.850 would; record-retrieval drills; mock inspection under the applicable model</t>
  </si>
  <si>
    <t xml:space="preserve">Zero inspection-critical findings open; median record retrieval under 15 minutes; every mock 483 item closed with evidence</t>
  </si>
  <si>
    <t xml:space="preserve">Enter here now</t>
  </si>
  <si>
    <t xml:space="preserve">Weeks 9-13</t>
  </si>
  <si>
    <t xml:space="preserve">5  Sustain</t>
  </si>
  <si>
    <t xml:space="preserve">Readiness metrics in management review; quarterly retrieval drills; watch list monitored; risk file updated on every trigger</t>
  </si>
  <si>
    <t xml:space="preserve">Metrics green two quarters running; every complaint, change and CAPA visibly updates the risk file</t>
  </si>
  <si>
    <t xml:space="preserve">Ongoing</t>
  </si>
  <si>
    <t xml:space="preserve">After week 13</t>
  </si>
</sst>
</file>

<file path=xl/styles.xml><?xml version="1.0" encoding="utf-8"?>
<styleSheet xmlns="http://schemas.openxmlformats.org/spreadsheetml/2006/main">
  <numFmts count="3">
    <numFmt numFmtId="164" formatCode="General"/>
    <numFmt numFmtId="165" formatCode="0"/>
    <numFmt numFmtId="166" formatCode="0.0%"/>
  </numFmts>
  <fonts count="19">
    <font>
      <sz val="11"/>
      <color theme="1"/>
      <name val="Calibri"/>
      <family val="2"/>
      <charset val="1"/>
    </font>
    <font>
      <sz val="10"/>
      <name val="Arial"/>
      <family val="0"/>
    </font>
    <font>
      <sz val="10"/>
      <name val="Arial"/>
      <family val="0"/>
    </font>
    <font>
      <sz val="10"/>
      <name val="Arial"/>
      <family val="0"/>
    </font>
    <font>
      <b val="true"/>
      <sz val="14"/>
      <color rgb="FF0F2A4A"/>
      <name val="Arial"/>
      <family val="0"/>
      <charset val="1"/>
    </font>
    <font>
      <i val="true"/>
      <sz val="9"/>
      <color rgb="FF5A6B7B"/>
      <name val="Arial"/>
      <family val="0"/>
      <charset val="1"/>
    </font>
    <font>
      <b val="true"/>
      <sz val="10"/>
      <color rgb="FF0F2A4A"/>
      <name val="Arial"/>
      <family val="0"/>
      <charset val="1"/>
    </font>
    <font>
      <sz val="10"/>
      <name val="Arial"/>
      <family val="0"/>
      <charset val="1"/>
    </font>
    <font>
      <b val="true"/>
      <sz val="11"/>
      <color rgb="FFA8730F"/>
      <name val="Arial"/>
      <family val="0"/>
      <charset val="1"/>
    </font>
    <font>
      <b val="true"/>
      <sz val="9"/>
      <name val="Arial"/>
      <family val="0"/>
      <charset val="1"/>
    </font>
    <font>
      <sz val="9"/>
      <color rgb="FF0000FF"/>
      <name val="Arial"/>
      <family val="0"/>
      <charset val="1"/>
    </font>
    <font>
      <b val="true"/>
      <sz val="13"/>
      <color rgb="FF0F2A4A"/>
      <name val="Arial"/>
      <family val="0"/>
      <charset val="1"/>
    </font>
    <font>
      <b val="true"/>
      <sz val="9"/>
      <color rgb="FFFFFFFF"/>
      <name val="Arial"/>
      <family val="0"/>
      <charset val="1"/>
    </font>
    <font>
      <sz val="9"/>
      <color rgb="FF000000"/>
      <name val="Arial"/>
      <family val="0"/>
      <charset val="1"/>
    </font>
    <font>
      <b val="true"/>
      <sz val="11"/>
      <name val="Arial"/>
      <family val="0"/>
      <charset val="1"/>
    </font>
    <font>
      <b val="true"/>
      <sz val="10"/>
      <name val="Arial"/>
      <family val="0"/>
      <charset val="1"/>
    </font>
    <font>
      <b val="true"/>
      <sz val="10"/>
      <color rgb="FFA8730F"/>
      <name val="Arial"/>
      <family val="0"/>
      <charset val="1"/>
    </font>
    <font>
      <sz val="9"/>
      <name val="Arial"/>
      <family val="0"/>
      <charset val="1"/>
    </font>
    <font>
      <b val="true"/>
      <sz val="9"/>
      <color rgb="FF000000"/>
      <name val="Arial"/>
      <family val="0"/>
      <charset val="1"/>
    </font>
  </fonts>
  <fills count="7">
    <fill>
      <patternFill patternType="none"/>
    </fill>
    <fill>
      <patternFill patternType="gray125"/>
    </fill>
    <fill>
      <patternFill patternType="solid">
        <fgColor rgb="FFFFF9E0"/>
        <bgColor rgb="FFF5F8FB"/>
      </patternFill>
    </fill>
    <fill>
      <patternFill patternType="solid">
        <fgColor rgb="FF0F2A4A"/>
        <bgColor rgb="FF333333"/>
      </patternFill>
    </fill>
    <fill>
      <patternFill patternType="solid">
        <fgColor rgb="FFF5F8FB"/>
        <bgColor rgb="FFFFFFFF"/>
      </patternFill>
    </fill>
    <fill>
      <patternFill patternType="solid">
        <fgColor rgb="FFFFFFFF"/>
        <bgColor rgb="FFF5F8FB"/>
      </patternFill>
    </fill>
    <fill>
      <patternFill patternType="solid">
        <fgColor rgb="FFEAF0F6"/>
        <bgColor rgb="FFF5F8FB"/>
      </patternFill>
    </fill>
  </fills>
  <borders count="2">
    <border diagonalUp="false" diagonalDown="false">
      <left/>
      <right/>
      <top/>
      <bottom/>
      <diagonal/>
    </border>
    <border diagonalUp="false" diagonalDown="false">
      <left style="thin">
        <color rgb="FFCBD2D9"/>
      </left>
      <right style="thin">
        <color rgb="FFCBD2D9"/>
      </right>
      <top style="thin">
        <color rgb="FFCBD2D9"/>
      </top>
      <bottom style="thin">
        <color rgb="FFCBD2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4" fillId="6"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7" fillId="0" borderId="1" xfId="0" applyFont="true" applyBorder="true" applyAlignment="true" applyProtection="false">
      <alignment horizontal="general"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4" fontId="15" fillId="4" borderId="1" xfId="0" applyFont="true" applyBorder="true" applyAlignment="true" applyProtection="false">
      <alignment horizontal="general" vertical="center" textRotation="0" wrapText="true" indent="0" shrinkToFit="false"/>
      <protection locked="true" hidden="false"/>
    </xf>
    <xf numFmtId="165" fontId="15" fillId="4" borderId="1" xfId="0" applyFont="true" applyBorder="true" applyAlignment="true" applyProtection="false">
      <alignment horizontal="general" vertical="center" textRotation="0" wrapText="true" indent="0" shrinkToFit="false"/>
      <protection locked="true" hidden="false"/>
    </xf>
    <xf numFmtId="164" fontId="14"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6"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7" fillId="4"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8" fillId="4" borderId="1" xfId="0" applyFont="true" applyBorder="true" applyAlignment="true" applyProtection="false">
      <alignment horizontal="general" vertical="top" textRotation="0" wrapText="true" indent="0" shrinkToFit="false"/>
      <protection locked="true" hidden="false"/>
    </xf>
    <xf numFmtId="164" fontId="18" fillId="5"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6" fontId="13" fillId="4" borderId="1" xfId="0" applyFont="true" applyBorder="true" applyAlignment="true" applyProtection="false">
      <alignment horizontal="general" vertical="top" textRotation="0" wrapText="true" indent="0" shrinkToFit="false"/>
      <protection locked="true" hidden="false"/>
    </xf>
    <xf numFmtId="166" fontId="10" fillId="2" borderId="1" xfId="0" applyFont="true" applyBorder="true" applyAlignment="true" applyProtection="false">
      <alignment horizontal="general" vertical="top" textRotation="0" wrapText="true" indent="0" shrinkToFit="false"/>
      <protection locked="true" hidden="false"/>
    </xf>
    <xf numFmtId="165" fontId="13" fillId="5" borderId="1" xfId="0" applyFont="true" applyBorder="true" applyAlignment="true" applyProtection="false">
      <alignment horizontal="general" vertical="top" textRotation="0" wrapText="true" indent="0" shrinkToFit="false"/>
      <protection locked="true" hidden="false"/>
    </xf>
    <xf numFmtId="165" fontId="10" fillId="2" borderId="1" xfId="0" applyFont="true" applyBorder="true" applyAlignment="true" applyProtection="false">
      <alignment horizontal="general" vertical="top" textRotation="0" wrapText="true" indent="0" shrinkToFit="false"/>
      <protection locked="true" hidden="false"/>
    </xf>
    <xf numFmtId="165" fontId="13" fillId="4" borderId="1" xfId="0" applyFont="true" applyBorder="true" applyAlignment="true" applyProtection="false">
      <alignment horizontal="general" vertical="top" textRotation="0" wrapText="true" indent="0" shrinkToFit="false"/>
      <protection locked="true" hidden="false"/>
    </xf>
    <xf numFmtId="166" fontId="13"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F2A4A"/>
          <bgColor rgb="FF000000"/>
        </patternFill>
      </fill>
    </dxf>
    <dxf>
      <fill>
        <patternFill patternType="solid">
          <fgColor rgb="FFF5F8FB"/>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F9E0"/>
          <bgColor rgb="FF000000"/>
        </patternFill>
      </fill>
    </dxf>
    <dxf>
      <fill>
        <patternFill patternType="solid">
          <fgColor rgb="FF0000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A8730F"/>
      <rgbColor rgb="FF800080"/>
      <rgbColor rgb="FF008080"/>
      <rgbColor rgb="FFC0C0C0"/>
      <rgbColor rgb="FF808080"/>
      <rgbColor rgb="FF9999FF"/>
      <rgbColor rgb="FF993366"/>
      <rgbColor rgb="FFFFF9E0"/>
      <rgbColor rgb="FFEAF0F6"/>
      <rgbColor rgb="FF660066"/>
      <rgbColor rgb="FFFF8080"/>
      <rgbColor rgb="FF0066CC"/>
      <rgbColor rgb="FFCBD2D9"/>
      <rgbColor rgb="FF000080"/>
      <rgbColor rgb="FFFF00FF"/>
      <rgbColor rgb="FFFFFF00"/>
      <rgbColor rgb="FF00FFFF"/>
      <rgbColor rgb="FF800080"/>
      <rgbColor rgb="FF800000"/>
      <rgbColor rgb="FF008080"/>
      <rgbColor rgb="FF0000FF"/>
      <rgbColor rgb="FF00CCFF"/>
      <rgbColor rgb="FFF5F8FB"/>
      <rgbColor rgb="FFCCFFCC"/>
      <rgbColor rgb="FFFFFF99"/>
      <rgbColor rgb="FF99CCFF"/>
      <rgbColor rgb="FFFF99CC"/>
      <rgbColor rgb="FFCC99FF"/>
      <rgbColor rgb="FFFFCC99"/>
      <rgbColor rgb="FF3366FF"/>
      <rgbColor rgb="FF33CCCC"/>
      <rgbColor rgb="FF99CC00"/>
      <rgbColor rgb="FFFFCC00"/>
      <rgbColor rgb="FFFF9900"/>
      <rgbColor rgb="FFFF6600"/>
      <rgbColor rgb="FF5A6B7B"/>
      <rgbColor rgb="FF969696"/>
      <rgbColor rgb="FF0F2A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4"/>
  </cols>
  <sheetData>
    <row r="1" customFormat="false" ht="19.5" hidden="false" customHeight="true" outlineLevel="0" collapsed="false">
      <c r="A1" s="1" t="s">
        <v>0</v>
      </c>
    </row>
    <row r="2" customFormat="false" ht="15" hidden="false" customHeight="false" outlineLevel="0" collapsed="false">
      <c r="A2" s="2" t="s">
        <v>1</v>
      </c>
    </row>
    <row r="3" customFormat="false" ht="12.75" hidden="false" customHeight="true" outlineLevel="0" collapsed="false">
      <c r="A3" s="3"/>
      <c r="B3" s="4"/>
    </row>
    <row r="4" customFormat="false" ht="25.5" hidden="false" customHeight="true" outlineLevel="0" collapsed="false">
      <c r="A4" s="3" t="s">
        <v>2</v>
      </c>
      <c r="B4" s="4" t="s">
        <v>3</v>
      </c>
    </row>
    <row r="5" customFormat="false" ht="39" hidden="false" customHeight="true" outlineLevel="0" collapsed="false">
      <c r="A5" s="3" t="s">
        <v>4</v>
      </c>
      <c r="B5" s="4" t="s">
        <v>5</v>
      </c>
    </row>
    <row r="6" customFormat="false" ht="12.75" hidden="false" customHeight="true" outlineLevel="0" collapsed="false">
      <c r="A6" s="3"/>
      <c r="B6" s="4"/>
    </row>
    <row r="7" customFormat="false" ht="25.5" hidden="false" customHeight="true" outlineLevel="0" collapsed="false">
      <c r="A7" s="3" t="s">
        <v>6</v>
      </c>
      <c r="B7" s="4" t="s">
        <v>7</v>
      </c>
    </row>
    <row r="8" customFormat="false" ht="25.5" hidden="false" customHeight="true" outlineLevel="0" collapsed="false">
      <c r="A8" s="3"/>
      <c r="B8" s="4" t="s">
        <v>8</v>
      </c>
    </row>
    <row r="9" customFormat="false" ht="25.5" hidden="false" customHeight="true" outlineLevel="0" collapsed="false">
      <c r="A9" s="3"/>
      <c r="B9" s="4" t="s">
        <v>9</v>
      </c>
    </row>
    <row r="10" customFormat="false" ht="12.75" hidden="false" customHeight="true" outlineLevel="0" collapsed="false">
      <c r="A10" s="3"/>
      <c r="B10" s="4" t="s">
        <v>10</v>
      </c>
    </row>
    <row r="11" customFormat="false" ht="12.75" hidden="false" customHeight="true" outlineLevel="0" collapsed="false">
      <c r="A11" s="3"/>
      <c r="B11" s="4" t="s">
        <v>11</v>
      </c>
    </row>
    <row r="12" customFormat="false" ht="12.75" hidden="false" customHeight="true" outlineLevel="0" collapsed="false">
      <c r="A12" s="3"/>
      <c r="B12" s="4"/>
    </row>
    <row r="13" customFormat="false" ht="25.5" hidden="false" customHeight="true" outlineLevel="0" collapsed="false">
      <c r="A13" s="3" t="s">
        <v>12</v>
      </c>
      <c r="B13" s="4" t="s">
        <v>13</v>
      </c>
    </row>
    <row r="14" customFormat="false" ht="25.5" hidden="false" customHeight="true" outlineLevel="0" collapsed="false">
      <c r="A14" s="3" t="s">
        <v>14</v>
      </c>
      <c r="B14" s="4" t="s">
        <v>15</v>
      </c>
    </row>
    <row r="15" customFormat="false" ht="12.75" hidden="false" customHeight="true" outlineLevel="0" collapsed="false">
      <c r="A15" s="3"/>
      <c r="B15" s="4"/>
    </row>
    <row r="16" customFormat="false" ht="39" hidden="false" customHeight="true" outlineLevel="0" collapsed="false">
      <c r="A16" s="3" t="s">
        <v>16</v>
      </c>
      <c r="B16" s="4" t="s">
        <v>17</v>
      </c>
    </row>
    <row r="17" customFormat="false" ht="39" hidden="false" customHeight="true" outlineLevel="0" collapsed="false">
      <c r="A17" s="3" t="s">
        <v>18</v>
      </c>
      <c r="B17" s="4" t="s">
        <v>19</v>
      </c>
    </row>
    <row r="18" customFormat="false" ht="12.75" hidden="false" customHeight="true" outlineLevel="0" collapsed="false">
      <c r="A18" s="3"/>
      <c r="B18" s="4"/>
    </row>
    <row r="19" customFormat="false" ht="25.5" hidden="false" customHeight="true" outlineLevel="0" collapsed="false">
      <c r="A19" s="3" t="s">
        <v>20</v>
      </c>
      <c r="B19" s="4" t="s">
        <v>21</v>
      </c>
    </row>
    <row r="20" customFormat="false" ht="12.75" hidden="false" customHeight="true" outlineLevel="0" collapsed="false">
      <c r="A20" s="3"/>
      <c r="B20" s="4"/>
    </row>
    <row r="21" customFormat="false" ht="25.5" hidden="false" customHeight="true" outlineLevel="0" collapsed="false">
      <c r="A21" s="3" t="s">
        <v>22</v>
      </c>
      <c r="B21" s="4" t="s">
        <v>23</v>
      </c>
    </row>
    <row r="22" customFormat="false" ht="25.5" hidden="false" customHeight="true" outlineLevel="0" collapsed="false">
      <c r="A22" s="3"/>
      <c r="B22" s="4" t="s">
        <v>24</v>
      </c>
    </row>
    <row r="23" customFormat="false" ht="25.5" hidden="false" customHeight="true" outlineLevel="0" collapsed="false">
      <c r="A23" s="3"/>
      <c r="B23" s="4" t="s">
        <v>25</v>
      </c>
    </row>
    <row r="24" customFormat="false" ht="39" hidden="false" customHeight="true" outlineLevel="0" collapsed="false">
      <c r="A24" s="3"/>
      <c r="B24" s="4" t="s">
        <v>26</v>
      </c>
    </row>
    <row r="25" customFormat="false" ht="12.75" hidden="false" customHeight="true" outlineLevel="0" collapsed="false">
      <c r="A25" s="3"/>
      <c r="B25" s="4"/>
    </row>
    <row r="26" customFormat="false" ht="25.5" hidden="false" customHeight="true" outlineLevel="0" collapsed="false">
      <c r="A26" s="3" t="s">
        <v>27</v>
      </c>
      <c r="B26" s="4" t="s">
        <v>28</v>
      </c>
    </row>
    <row r="27" customFormat="false" ht="12.75" hidden="false" customHeight="true" outlineLevel="0" collapsed="false">
      <c r="A27" s="3" t="s">
        <v>29</v>
      </c>
      <c r="B27" s="4" t="s">
        <v>30</v>
      </c>
    </row>
    <row r="29" customFormat="false" ht="15" hidden="false" customHeight="false" outlineLevel="0" collapsed="false">
      <c r="A29" s="5" t="s">
        <v>31</v>
      </c>
    </row>
    <row r="30" customFormat="false" ht="15" hidden="false" customHeight="false" outlineLevel="0" collapsed="false">
      <c r="A30" s="6" t="s">
        <v>32</v>
      </c>
      <c r="B30" s="7" t="s">
        <v>33</v>
      </c>
    </row>
    <row r="31" customFormat="false" ht="15" hidden="false" customHeight="false" outlineLevel="0" collapsed="false">
      <c r="A31" s="6" t="s">
        <v>34</v>
      </c>
      <c r="B31" s="7" t="s">
        <v>35</v>
      </c>
    </row>
    <row r="32" customFormat="false" ht="15" hidden="false" customHeight="false" outlineLevel="0" collapsed="false">
      <c r="A32" s="6" t="s">
        <v>36</v>
      </c>
      <c r="B32" s="7" t="s">
        <v>37</v>
      </c>
    </row>
    <row r="33" customFormat="false" ht="15" hidden="false" customHeight="false" outlineLevel="0" collapsed="false">
      <c r="A33" s="6" t="s">
        <v>38</v>
      </c>
      <c r="B33" s="7" t="s">
        <v>39</v>
      </c>
    </row>
    <row r="34" customFormat="false" ht="15" hidden="false" customHeight="false" outlineLevel="0" collapsed="false">
      <c r="A34" s="6" t="s">
        <v>40</v>
      </c>
      <c r="B34" s="7" t="s">
        <v>41</v>
      </c>
    </row>
    <row r="35" customFormat="false" ht="15" hidden="false" customHeight="false" outlineLevel="0" collapsed="false">
      <c r="A35" s="6" t="s">
        <v>42</v>
      </c>
      <c r="B35" s="7" t="s">
        <v>35</v>
      </c>
    </row>
    <row r="36" customFormat="false" ht="15" hidden="false" customHeight="false" outlineLevel="0" collapsed="false">
      <c r="A36" s="6" t="s">
        <v>43</v>
      </c>
      <c r="B36" s="7" t="s">
        <v>44</v>
      </c>
    </row>
    <row r="37" customFormat="false" ht="15" hidden="false" customHeight="false" outlineLevel="0" collapsed="false">
      <c r="A37" s="6" t="s">
        <v>45</v>
      </c>
      <c r="B37" s="7" t="s">
        <v>46</v>
      </c>
    </row>
    <row r="38" customFormat="false" ht="15" hidden="false" customHeight="false" outlineLevel="0" collapsed="false">
      <c r="A38" s="6" t="s">
        <v>47</v>
      </c>
      <c r="B38" s="7" t="s">
        <v>48</v>
      </c>
    </row>
    <row r="39" customFormat="false" ht="15" hidden="false" customHeight="false" outlineLevel="0" collapsed="false">
      <c r="A39" s="6" t="s">
        <v>49</v>
      </c>
      <c r="B39" s="7" t="s">
        <v>50</v>
      </c>
    </row>
    <row r="40" customFormat="false" ht="15" hidden="false" customHeight="false" outlineLevel="0" collapsed="false">
      <c r="A40" s="6" t="s">
        <v>51</v>
      </c>
      <c r="B40" s="7" t="s">
        <v>52</v>
      </c>
    </row>
    <row r="41" customFormat="false" ht="15" hidden="false" customHeight="false" outlineLevel="0" collapsed="false">
      <c r="A41" s="6" t="s">
        <v>53</v>
      </c>
      <c r="B41" s="7" t="s">
        <v>54</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QMSR Gap Assessment Workbook  -  Elder Consulting, LLC  -  &amp;A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34"/>
    <col collapsed="false" customWidth="true" hidden="false" outlineLevel="0" max="4" min="4" style="0" width="22"/>
    <col collapsed="false" customWidth="true" hidden="false" outlineLevel="0" max="5" min="5" style="0" width="24"/>
    <col collapsed="false" customWidth="true" hidden="false" outlineLevel="0" max="6" min="6" style="0" width="22"/>
    <col collapsed="false" customWidth="true" hidden="false" outlineLevel="0" max="9" min="7" style="0" width="11"/>
    <col collapsed="false" customWidth="true" hidden="false" outlineLevel="0" max="10" min="10" style="0" width="26"/>
    <col collapsed="false" customWidth="true" hidden="false" outlineLevel="0" max="11" min="11" style="0" width="30"/>
    <col collapsed="false" customWidth="true" hidden="false" outlineLevel="0" max="12" min="12" style="0" width="34"/>
    <col collapsed="false" customWidth="true" hidden="false" outlineLevel="0" max="13" min="13" style="0" width="11"/>
    <col collapsed="false" customWidth="true" hidden="false" outlineLevel="0" max="14" min="14" style="0" width="12"/>
    <col collapsed="false" customWidth="true" hidden="false" outlineLevel="0" max="15" min="15" style="0" width="13"/>
    <col collapsed="false" customWidth="true" hidden="false" outlineLevel="0" max="17" min="16" style="0" width="10"/>
    <col collapsed="false" customWidth="true" hidden="false" outlineLevel="0" max="18" min="18" style="0" width="9"/>
    <col collapsed="false" customWidth="true" hidden="false" outlineLevel="0" max="19" min="19" style="0" width="16"/>
    <col collapsed="false" customWidth="true" hidden="false" outlineLevel="0" max="20" min="20" style="0" width="11"/>
    <col collapsed="false" customWidth="true" hidden="false" outlineLevel="0" max="21" min="21" style="0" width="30"/>
    <col collapsed="false" customWidth="true" hidden="false" outlineLevel="0" max="22" min="22" style="0" width="13"/>
  </cols>
  <sheetData>
    <row r="1" customFormat="false" ht="16.15" hidden="false" customHeight="false" outlineLevel="0" collapsed="false">
      <c r="A1" s="8" t="s">
        <v>55</v>
      </c>
    </row>
    <row r="2" customFormat="false" ht="15" hidden="false" customHeight="false" outlineLevel="0" collapsed="false">
      <c r="A2" s="2" t="s">
        <v>56</v>
      </c>
    </row>
    <row r="3" customFormat="false" ht="45.75" hidden="false" customHeight="true" outlineLevel="0" collapsed="false">
      <c r="A3" s="9" t="s">
        <v>57</v>
      </c>
      <c r="B3" s="9" t="s">
        <v>58</v>
      </c>
      <c r="C3" s="9" t="s">
        <v>59</v>
      </c>
      <c r="D3" s="9" t="s">
        <v>60</v>
      </c>
      <c r="E3" s="9" t="s">
        <v>61</v>
      </c>
      <c r="F3" s="9" t="s">
        <v>62</v>
      </c>
      <c r="G3" s="9" t="s">
        <v>63</v>
      </c>
      <c r="H3" s="9" t="s">
        <v>64</v>
      </c>
      <c r="I3" s="9" t="s">
        <v>65</v>
      </c>
      <c r="J3" s="9" t="s">
        <v>36</v>
      </c>
      <c r="K3" s="9" t="s">
        <v>66</v>
      </c>
      <c r="L3" s="9" t="s">
        <v>40</v>
      </c>
      <c r="M3" s="9" t="s">
        <v>67</v>
      </c>
      <c r="N3" s="9" t="s">
        <v>18</v>
      </c>
      <c r="O3" s="9" t="s">
        <v>68</v>
      </c>
      <c r="P3" s="9" t="s">
        <v>69</v>
      </c>
      <c r="Q3" s="9" t="s">
        <v>16</v>
      </c>
      <c r="R3" s="9" t="s">
        <v>70</v>
      </c>
      <c r="S3" s="9" t="s">
        <v>47</v>
      </c>
      <c r="T3" s="9" t="s">
        <v>71</v>
      </c>
      <c r="U3" s="9" t="s">
        <v>51</v>
      </c>
      <c r="V3" s="9" t="s">
        <v>53</v>
      </c>
    </row>
    <row r="4" customFormat="false" ht="30" hidden="false" customHeight="true" outlineLevel="0" collapsed="false">
      <c r="A4" s="10" t="s">
        <v>72</v>
      </c>
      <c r="B4" s="10" t="s">
        <v>73</v>
      </c>
      <c r="C4" s="10" t="s">
        <v>74</v>
      </c>
      <c r="D4" s="10" t="s">
        <v>75</v>
      </c>
      <c r="E4" s="10" t="s">
        <v>76</v>
      </c>
      <c r="F4" s="10" t="s">
        <v>77</v>
      </c>
      <c r="G4" s="10" t="s">
        <v>78</v>
      </c>
      <c r="H4" s="10" t="s">
        <v>78</v>
      </c>
      <c r="I4" s="7" t="s">
        <v>35</v>
      </c>
      <c r="J4" s="7"/>
      <c r="K4" s="7"/>
      <c r="L4" s="7"/>
      <c r="M4" s="7"/>
      <c r="N4" s="11" t="str">
        <f aca="false">IF(OR(LEFT($G4,1)="Y",$H4="Y"),"High","Medium")</f>
        <v>Medium</v>
      </c>
      <c r="O4" s="7"/>
      <c r="P4" s="7"/>
      <c r="Q4" s="11" t="str">
        <f aca="false">IF($O4="","",IF($O4="High",30,IF($O4="Medium",20,IF($O4="Low",10,0)))+IF($M4="Y",5,0)+IF($P4="S",3,IF($P4="M",2,IF($P4="L",1,0))))</f>
        <v/>
      </c>
      <c r="R4" s="11" t="str">
        <f aca="false">IF($Q4="","",RANK($Q4,$Q$4:$Q$61,0))</f>
        <v/>
      </c>
      <c r="S4" s="7"/>
      <c r="T4" s="7"/>
      <c r="U4" s="7"/>
      <c r="V4" s="7"/>
    </row>
    <row r="5" customFormat="false" ht="30" hidden="false" customHeight="true" outlineLevel="0" collapsed="false">
      <c r="A5" s="12" t="s">
        <v>79</v>
      </c>
      <c r="B5" s="12" t="s">
        <v>73</v>
      </c>
      <c r="C5" s="12" t="s">
        <v>80</v>
      </c>
      <c r="D5" s="12" t="s">
        <v>81</v>
      </c>
      <c r="E5" s="12" t="s">
        <v>76</v>
      </c>
      <c r="F5" s="12" t="s">
        <v>82</v>
      </c>
      <c r="G5" s="12" t="s">
        <v>78</v>
      </c>
      <c r="H5" s="12" t="s">
        <v>35</v>
      </c>
      <c r="I5" s="7" t="s">
        <v>35</v>
      </c>
      <c r="J5" s="7"/>
      <c r="K5" s="7"/>
      <c r="L5" s="7"/>
      <c r="M5" s="7"/>
      <c r="N5" s="11" t="str">
        <f aca="false">IF(OR(LEFT($G5,1)="Y",$H5="Y"),"High","Medium")</f>
        <v>High</v>
      </c>
      <c r="O5" s="7"/>
      <c r="P5" s="7"/>
      <c r="Q5" s="11" t="str">
        <f aca="false">IF($O5="","",IF($O5="High",30,IF($O5="Medium",20,IF($O5="Low",10,0)))+IF($M5="Y",5,0)+IF($P5="S",3,IF($P5="M",2,IF($P5="L",1,0))))</f>
        <v/>
      </c>
      <c r="R5" s="11" t="str">
        <f aca="false">IF($Q5="","",RANK($Q5,$Q$4:$Q$61,0))</f>
        <v/>
      </c>
      <c r="S5" s="7"/>
      <c r="T5" s="7"/>
      <c r="U5" s="7"/>
      <c r="V5" s="7"/>
    </row>
    <row r="6" customFormat="false" ht="30" hidden="false" customHeight="true" outlineLevel="0" collapsed="false">
      <c r="A6" s="10" t="s">
        <v>83</v>
      </c>
      <c r="B6" s="10" t="s">
        <v>73</v>
      </c>
      <c r="C6" s="10" t="s">
        <v>84</v>
      </c>
      <c r="D6" s="10" t="s">
        <v>85</v>
      </c>
      <c r="E6" s="10" t="s">
        <v>76</v>
      </c>
      <c r="F6" s="10" t="s">
        <v>86</v>
      </c>
      <c r="G6" s="10" t="s">
        <v>78</v>
      </c>
      <c r="H6" s="10" t="s">
        <v>78</v>
      </c>
      <c r="I6" s="7" t="s">
        <v>35</v>
      </c>
      <c r="J6" s="7"/>
      <c r="K6" s="7"/>
      <c r="L6" s="7"/>
      <c r="M6" s="7"/>
      <c r="N6" s="11" t="str">
        <f aca="false">IF(OR(LEFT($G6,1)="Y",$H6="Y"),"High","Medium")</f>
        <v>Medium</v>
      </c>
      <c r="O6" s="7"/>
      <c r="P6" s="7"/>
      <c r="Q6" s="11" t="str">
        <f aca="false">IF($O6="","",IF($O6="High",30,IF($O6="Medium",20,IF($O6="Low",10,0)))+IF($M6="Y",5,0)+IF($P6="S",3,IF($P6="M",2,IF($P6="L",1,0))))</f>
        <v/>
      </c>
      <c r="R6" s="11" t="str">
        <f aca="false">IF($Q6="","",RANK($Q6,$Q$4:$Q$61,0))</f>
        <v/>
      </c>
      <c r="S6" s="7"/>
      <c r="T6" s="7"/>
      <c r="U6" s="7"/>
      <c r="V6" s="7"/>
    </row>
    <row r="7" customFormat="false" ht="30" hidden="false" customHeight="true" outlineLevel="0" collapsed="false">
      <c r="A7" s="12" t="s">
        <v>87</v>
      </c>
      <c r="B7" s="12" t="s">
        <v>73</v>
      </c>
      <c r="C7" s="12" t="s">
        <v>88</v>
      </c>
      <c r="D7" s="12" t="s">
        <v>89</v>
      </c>
      <c r="E7" s="12" t="s">
        <v>76</v>
      </c>
      <c r="F7" s="12" t="s">
        <v>90</v>
      </c>
      <c r="G7" s="12" t="s">
        <v>78</v>
      </c>
      <c r="H7" s="12" t="s">
        <v>78</v>
      </c>
      <c r="I7" s="7" t="s">
        <v>35</v>
      </c>
      <c r="J7" s="7"/>
      <c r="K7" s="7"/>
      <c r="L7" s="7"/>
      <c r="M7" s="7"/>
      <c r="N7" s="11" t="str">
        <f aca="false">IF(OR(LEFT($G7,1)="Y",$H7="Y"),"High","Medium")</f>
        <v>Medium</v>
      </c>
      <c r="O7" s="7"/>
      <c r="P7" s="7"/>
      <c r="Q7" s="11" t="str">
        <f aca="false">IF($O7="","",IF($O7="High",30,IF($O7="Medium",20,IF($O7="Low",10,0)))+IF($M7="Y",5,0)+IF($P7="S",3,IF($P7="M",2,IF($P7="L",1,0))))</f>
        <v/>
      </c>
      <c r="R7" s="11" t="str">
        <f aca="false">IF($Q7="","",RANK($Q7,$Q$4:$Q$61,0))</f>
        <v/>
      </c>
      <c r="S7" s="7"/>
      <c r="T7" s="7"/>
      <c r="U7" s="7"/>
      <c r="V7" s="7"/>
    </row>
    <row r="8" customFormat="false" ht="30" hidden="false" customHeight="true" outlineLevel="0" collapsed="false">
      <c r="A8" s="10" t="s">
        <v>91</v>
      </c>
      <c r="B8" s="10" t="s">
        <v>73</v>
      </c>
      <c r="C8" s="10" t="s">
        <v>92</v>
      </c>
      <c r="D8" s="10" t="s">
        <v>93</v>
      </c>
      <c r="E8" s="10" t="s">
        <v>76</v>
      </c>
      <c r="F8" s="10" t="s">
        <v>94</v>
      </c>
      <c r="G8" s="10" t="s">
        <v>35</v>
      </c>
      <c r="H8" s="10" t="s">
        <v>78</v>
      </c>
      <c r="I8" s="7" t="s">
        <v>35</v>
      </c>
      <c r="J8" s="7"/>
      <c r="K8" s="7"/>
      <c r="L8" s="7"/>
      <c r="M8" s="7"/>
      <c r="N8" s="11" t="str">
        <f aca="false">IF(OR(LEFT($G8,1)="Y",$H8="Y"),"High","Medium")</f>
        <v>High</v>
      </c>
      <c r="O8" s="7"/>
      <c r="P8" s="7"/>
      <c r="Q8" s="11" t="str">
        <f aca="false">IF($O8="","",IF($O8="High",30,IF($O8="Medium",20,IF($O8="Low",10,0)))+IF($M8="Y",5,0)+IF($P8="S",3,IF($P8="M",2,IF($P8="L",1,0))))</f>
        <v/>
      </c>
      <c r="R8" s="11" t="str">
        <f aca="false">IF($Q8="","",RANK($Q8,$Q$4:$Q$61,0))</f>
        <v/>
      </c>
      <c r="S8" s="7"/>
      <c r="T8" s="7"/>
      <c r="U8" s="7"/>
      <c r="V8" s="7"/>
    </row>
    <row r="9" customFormat="false" ht="30" hidden="false" customHeight="true" outlineLevel="0" collapsed="false">
      <c r="A9" s="12" t="s">
        <v>95</v>
      </c>
      <c r="B9" s="12" t="s">
        <v>73</v>
      </c>
      <c r="C9" s="12" t="s">
        <v>96</v>
      </c>
      <c r="D9" s="12" t="s">
        <v>97</v>
      </c>
      <c r="E9" s="12" t="s">
        <v>98</v>
      </c>
      <c r="F9" s="12" t="s">
        <v>99</v>
      </c>
      <c r="G9" s="12" t="s">
        <v>78</v>
      </c>
      <c r="H9" s="12" t="s">
        <v>78</v>
      </c>
      <c r="I9" s="7" t="s">
        <v>35</v>
      </c>
      <c r="J9" s="7"/>
      <c r="K9" s="7"/>
      <c r="L9" s="7"/>
      <c r="M9" s="7"/>
      <c r="N9" s="11" t="str">
        <f aca="false">IF(OR(LEFT($G9,1)="Y",$H9="Y"),"High","Medium")</f>
        <v>Medium</v>
      </c>
      <c r="O9" s="7"/>
      <c r="P9" s="7"/>
      <c r="Q9" s="11" t="str">
        <f aca="false">IF($O9="","",IF($O9="High",30,IF($O9="Medium",20,IF($O9="Low",10,0)))+IF($M9="Y",5,0)+IF($P9="S",3,IF($P9="M",2,IF($P9="L",1,0))))</f>
        <v/>
      </c>
      <c r="R9" s="11" t="str">
        <f aca="false">IF($Q9="","",RANK($Q9,$Q$4:$Q$61,0))</f>
        <v/>
      </c>
      <c r="S9" s="7"/>
      <c r="T9" s="7"/>
      <c r="U9" s="7"/>
      <c r="V9" s="7"/>
    </row>
    <row r="10" customFormat="false" ht="30" hidden="false" customHeight="true" outlineLevel="0" collapsed="false">
      <c r="A10" s="10" t="s">
        <v>100</v>
      </c>
      <c r="B10" s="10" t="s">
        <v>73</v>
      </c>
      <c r="C10" s="10" t="s">
        <v>101</v>
      </c>
      <c r="D10" s="10" t="s">
        <v>102</v>
      </c>
      <c r="E10" s="10" t="s">
        <v>103</v>
      </c>
      <c r="F10" s="10" t="s">
        <v>104</v>
      </c>
      <c r="G10" s="10" t="s">
        <v>78</v>
      </c>
      <c r="H10" s="10" t="s">
        <v>78</v>
      </c>
      <c r="I10" s="7" t="s">
        <v>35</v>
      </c>
      <c r="J10" s="7"/>
      <c r="K10" s="7"/>
      <c r="L10" s="7"/>
      <c r="M10" s="7"/>
      <c r="N10" s="11" t="str">
        <f aca="false">IF(OR(LEFT($G10,1)="Y",$H10="Y"),"High","Medium")</f>
        <v>Medium</v>
      </c>
      <c r="O10" s="7"/>
      <c r="P10" s="7"/>
      <c r="Q10" s="11" t="str">
        <f aca="false">IF($O10="","",IF($O10="High",30,IF($O10="Medium",20,IF($O10="Low",10,0)))+IF($M10="Y",5,0)+IF($P10="S",3,IF($P10="M",2,IF($P10="L",1,0))))</f>
        <v/>
      </c>
      <c r="R10" s="11" t="str">
        <f aca="false">IF($Q10="","",RANK($Q10,$Q$4:$Q$61,0))</f>
        <v/>
      </c>
      <c r="S10" s="7"/>
      <c r="T10" s="7"/>
      <c r="U10" s="7"/>
      <c r="V10" s="7"/>
    </row>
    <row r="11" customFormat="false" ht="30" hidden="false" customHeight="true" outlineLevel="0" collapsed="false">
      <c r="A11" s="12" t="s">
        <v>105</v>
      </c>
      <c r="B11" s="12" t="s">
        <v>73</v>
      </c>
      <c r="C11" s="12" t="s">
        <v>106</v>
      </c>
      <c r="D11" s="12" t="s">
        <v>107</v>
      </c>
      <c r="E11" s="12" t="s">
        <v>103</v>
      </c>
      <c r="F11" s="12" t="s">
        <v>82</v>
      </c>
      <c r="G11" s="12" t="s">
        <v>78</v>
      </c>
      <c r="H11" s="12" t="s">
        <v>78</v>
      </c>
      <c r="I11" s="7" t="s">
        <v>35</v>
      </c>
      <c r="J11" s="7"/>
      <c r="K11" s="7"/>
      <c r="L11" s="7"/>
      <c r="M11" s="7"/>
      <c r="N11" s="11" t="str">
        <f aca="false">IF(OR(LEFT($G11,1)="Y",$H11="Y"),"High","Medium")</f>
        <v>Medium</v>
      </c>
      <c r="O11" s="7"/>
      <c r="P11" s="7"/>
      <c r="Q11" s="11" t="str">
        <f aca="false">IF($O11="","",IF($O11="High",30,IF($O11="Medium",20,IF($O11="Low",10,0)))+IF($M11="Y",5,0)+IF($P11="S",3,IF($P11="M",2,IF($P11="L",1,0))))</f>
        <v/>
      </c>
      <c r="R11" s="11" t="str">
        <f aca="false">IF($Q11="","",RANK($Q11,$Q$4:$Q$61,0))</f>
        <v/>
      </c>
      <c r="S11" s="7"/>
      <c r="T11" s="7"/>
      <c r="U11" s="7"/>
      <c r="V11" s="7"/>
    </row>
    <row r="12" customFormat="false" ht="30" hidden="false" customHeight="true" outlineLevel="0" collapsed="false">
      <c r="A12" s="10" t="s">
        <v>108</v>
      </c>
      <c r="B12" s="10" t="s">
        <v>73</v>
      </c>
      <c r="C12" s="10" t="s">
        <v>109</v>
      </c>
      <c r="D12" s="10" t="s">
        <v>110</v>
      </c>
      <c r="E12" s="10" t="s">
        <v>103</v>
      </c>
      <c r="F12" s="10" t="s">
        <v>111</v>
      </c>
      <c r="G12" s="10" t="s">
        <v>78</v>
      </c>
      <c r="H12" s="10" t="s">
        <v>78</v>
      </c>
      <c r="I12" s="7" t="s">
        <v>35</v>
      </c>
      <c r="J12" s="7"/>
      <c r="K12" s="7"/>
      <c r="L12" s="7"/>
      <c r="M12" s="7"/>
      <c r="N12" s="11" t="str">
        <f aca="false">IF(OR(LEFT($G12,1)="Y",$H12="Y"),"High","Medium")</f>
        <v>Medium</v>
      </c>
      <c r="O12" s="7"/>
      <c r="P12" s="7"/>
      <c r="Q12" s="11" t="str">
        <f aca="false">IF($O12="","",IF($O12="High",30,IF($O12="Medium",20,IF($O12="Low",10,0)))+IF($M12="Y",5,0)+IF($P12="S",3,IF($P12="M",2,IF($P12="L",1,0))))</f>
        <v/>
      </c>
      <c r="R12" s="11" t="str">
        <f aca="false">IF($Q12="","",RANK($Q12,$Q$4:$Q$61,0))</f>
        <v/>
      </c>
      <c r="S12" s="7"/>
      <c r="T12" s="7"/>
      <c r="U12" s="7"/>
      <c r="V12" s="7"/>
    </row>
    <row r="13" customFormat="false" ht="30" hidden="false" customHeight="true" outlineLevel="0" collapsed="false">
      <c r="A13" s="12" t="s">
        <v>112</v>
      </c>
      <c r="B13" s="12" t="s">
        <v>73</v>
      </c>
      <c r="C13" s="12" t="s">
        <v>113</v>
      </c>
      <c r="D13" s="12" t="s">
        <v>114</v>
      </c>
      <c r="E13" s="12" t="s">
        <v>103</v>
      </c>
      <c r="F13" s="12" t="s">
        <v>115</v>
      </c>
      <c r="G13" s="12" t="s">
        <v>78</v>
      </c>
      <c r="H13" s="12" t="s">
        <v>78</v>
      </c>
      <c r="I13" s="7" t="s">
        <v>35</v>
      </c>
      <c r="J13" s="7"/>
      <c r="K13" s="7"/>
      <c r="L13" s="7"/>
      <c r="M13" s="7"/>
      <c r="N13" s="11" t="str">
        <f aca="false">IF(OR(LEFT($G13,1)="Y",$H13="Y"),"High","Medium")</f>
        <v>Medium</v>
      </c>
      <c r="O13" s="7"/>
      <c r="P13" s="7"/>
      <c r="Q13" s="11" t="str">
        <f aca="false">IF($O13="","",IF($O13="High",30,IF($O13="Medium",20,IF($O13="Low",10,0)))+IF($M13="Y",5,0)+IF($P13="S",3,IF($P13="M",2,IF($P13="L",1,0))))</f>
        <v/>
      </c>
      <c r="R13" s="11" t="str">
        <f aca="false">IF($Q13="","",RANK($Q13,$Q$4:$Q$61,0))</f>
        <v/>
      </c>
      <c r="S13" s="7"/>
      <c r="T13" s="7"/>
      <c r="U13" s="7"/>
      <c r="V13" s="7"/>
    </row>
    <row r="14" customFormat="false" ht="30" hidden="false" customHeight="true" outlineLevel="0" collapsed="false">
      <c r="A14" s="10" t="s">
        <v>116</v>
      </c>
      <c r="B14" s="10" t="s">
        <v>73</v>
      </c>
      <c r="C14" s="10" t="s">
        <v>117</v>
      </c>
      <c r="D14" s="10" t="s">
        <v>118</v>
      </c>
      <c r="E14" s="10" t="s">
        <v>103</v>
      </c>
      <c r="F14" s="10" t="s">
        <v>119</v>
      </c>
      <c r="G14" s="10" t="s">
        <v>35</v>
      </c>
      <c r="H14" s="10" t="s">
        <v>78</v>
      </c>
      <c r="I14" s="7" t="s">
        <v>35</v>
      </c>
      <c r="J14" s="7"/>
      <c r="K14" s="7"/>
      <c r="L14" s="7"/>
      <c r="M14" s="7"/>
      <c r="N14" s="11" t="str">
        <f aca="false">IF(OR(LEFT($G14,1)="Y",$H14="Y"),"High","Medium")</f>
        <v>High</v>
      </c>
      <c r="O14" s="7"/>
      <c r="P14" s="7"/>
      <c r="Q14" s="11" t="str">
        <f aca="false">IF($O14="","",IF($O14="High",30,IF($O14="Medium",20,IF($O14="Low",10,0)))+IF($M14="Y",5,0)+IF($P14="S",3,IF($P14="M",2,IF($P14="L",1,0))))</f>
        <v/>
      </c>
      <c r="R14" s="11" t="str">
        <f aca="false">IF($Q14="","",RANK($Q14,$Q$4:$Q$61,0))</f>
        <v/>
      </c>
      <c r="S14" s="7"/>
      <c r="T14" s="7"/>
      <c r="U14" s="7"/>
      <c r="V14" s="7"/>
    </row>
    <row r="15" customFormat="false" ht="30" hidden="false" customHeight="true" outlineLevel="0" collapsed="false">
      <c r="A15" s="12" t="s">
        <v>120</v>
      </c>
      <c r="B15" s="12" t="s">
        <v>73</v>
      </c>
      <c r="C15" s="12" t="s">
        <v>121</v>
      </c>
      <c r="D15" s="12" t="s">
        <v>122</v>
      </c>
      <c r="E15" s="12" t="s">
        <v>103</v>
      </c>
      <c r="F15" s="12" t="s">
        <v>123</v>
      </c>
      <c r="G15" s="12" t="s">
        <v>78</v>
      </c>
      <c r="H15" s="12" t="s">
        <v>78</v>
      </c>
      <c r="I15" s="7" t="s">
        <v>35</v>
      </c>
      <c r="J15" s="7"/>
      <c r="K15" s="7"/>
      <c r="L15" s="7"/>
      <c r="M15" s="7"/>
      <c r="N15" s="11" t="str">
        <f aca="false">IF(OR(LEFT($G15,1)="Y",$H15="Y"),"High","Medium")</f>
        <v>Medium</v>
      </c>
      <c r="O15" s="7"/>
      <c r="P15" s="7"/>
      <c r="Q15" s="11" t="str">
        <f aca="false">IF($O15="","",IF($O15="High",30,IF($O15="Medium",20,IF($O15="Low",10,0)))+IF($M15="Y",5,0)+IF($P15="S",3,IF($P15="M",2,IF($P15="L",1,0))))</f>
        <v/>
      </c>
      <c r="R15" s="11" t="str">
        <f aca="false">IF($Q15="","",RANK($Q15,$Q$4:$Q$61,0))</f>
        <v/>
      </c>
      <c r="S15" s="7"/>
      <c r="T15" s="7"/>
      <c r="U15" s="7"/>
      <c r="V15" s="7"/>
    </row>
    <row r="16" customFormat="false" ht="30" hidden="false" customHeight="true" outlineLevel="0" collapsed="false">
      <c r="A16" s="10" t="s">
        <v>124</v>
      </c>
      <c r="B16" s="10" t="s">
        <v>73</v>
      </c>
      <c r="C16" s="10" t="s">
        <v>125</v>
      </c>
      <c r="D16" s="10" t="s">
        <v>126</v>
      </c>
      <c r="E16" s="10" t="s">
        <v>103</v>
      </c>
      <c r="F16" s="10" t="s">
        <v>127</v>
      </c>
      <c r="G16" s="10" t="s">
        <v>78</v>
      </c>
      <c r="H16" s="10" t="s">
        <v>78</v>
      </c>
      <c r="I16" s="7" t="s">
        <v>35</v>
      </c>
      <c r="J16" s="7"/>
      <c r="K16" s="7"/>
      <c r="L16" s="7"/>
      <c r="M16" s="7"/>
      <c r="N16" s="11" t="str">
        <f aca="false">IF(OR(LEFT($G16,1)="Y",$H16="Y"),"High","Medium")</f>
        <v>Medium</v>
      </c>
      <c r="O16" s="7"/>
      <c r="P16" s="7"/>
      <c r="Q16" s="11" t="str">
        <f aca="false">IF($O16="","",IF($O16="High",30,IF($O16="Medium",20,IF($O16="Low",10,0)))+IF($M16="Y",5,0)+IF($P16="S",3,IF($P16="M",2,IF($P16="L",1,0))))</f>
        <v/>
      </c>
      <c r="R16" s="11" t="str">
        <f aca="false">IF($Q16="","",RANK($Q16,$Q$4:$Q$61,0))</f>
        <v/>
      </c>
      <c r="S16" s="7"/>
      <c r="T16" s="7"/>
      <c r="U16" s="7"/>
      <c r="V16" s="7"/>
    </row>
    <row r="17" customFormat="false" ht="30" hidden="false" customHeight="true" outlineLevel="0" collapsed="false">
      <c r="A17" s="12" t="s">
        <v>128</v>
      </c>
      <c r="B17" s="12" t="s">
        <v>73</v>
      </c>
      <c r="C17" s="12" t="s">
        <v>129</v>
      </c>
      <c r="D17" s="12" t="s">
        <v>130</v>
      </c>
      <c r="E17" s="12" t="s">
        <v>103</v>
      </c>
      <c r="F17" s="12" t="s">
        <v>131</v>
      </c>
      <c r="G17" s="12" t="s">
        <v>35</v>
      </c>
      <c r="H17" s="12" t="s">
        <v>35</v>
      </c>
      <c r="I17" s="7" t="s">
        <v>35</v>
      </c>
      <c r="J17" s="7"/>
      <c r="K17" s="7"/>
      <c r="L17" s="7"/>
      <c r="M17" s="7"/>
      <c r="N17" s="11" t="str">
        <f aca="false">IF(OR(LEFT($G17,1)="Y",$H17="Y"),"High","Medium")</f>
        <v>High</v>
      </c>
      <c r="O17" s="7"/>
      <c r="P17" s="7"/>
      <c r="Q17" s="11" t="str">
        <f aca="false">IF($O17="","",IF($O17="High",30,IF($O17="Medium",20,IF($O17="Low",10,0)))+IF($M17="Y",5,0)+IF($P17="S",3,IF($P17="M",2,IF($P17="L",1,0))))</f>
        <v/>
      </c>
      <c r="R17" s="11" t="str">
        <f aca="false">IF($Q17="","",RANK($Q17,$Q$4:$Q$61,0))</f>
        <v/>
      </c>
      <c r="S17" s="7"/>
      <c r="T17" s="7"/>
      <c r="U17" s="7"/>
      <c r="V17" s="7"/>
    </row>
    <row r="18" customFormat="false" ht="30" hidden="false" customHeight="true" outlineLevel="0" collapsed="false">
      <c r="A18" s="10" t="s">
        <v>132</v>
      </c>
      <c r="B18" s="10" t="s">
        <v>133</v>
      </c>
      <c r="C18" s="10" t="s">
        <v>134</v>
      </c>
      <c r="D18" s="10" t="s">
        <v>135</v>
      </c>
      <c r="E18" s="10" t="s">
        <v>136</v>
      </c>
      <c r="F18" s="10" t="s">
        <v>137</v>
      </c>
      <c r="G18" s="10" t="s">
        <v>78</v>
      </c>
      <c r="H18" s="10" t="s">
        <v>78</v>
      </c>
      <c r="I18" s="7" t="s">
        <v>35</v>
      </c>
      <c r="J18" s="7"/>
      <c r="K18" s="7"/>
      <c r="L18" s="7"/>
      <c r="M18" s="7"/>
      <c r="N18" s="11" t="str">
        <f aca="false">IF(OR(LEFT($G18,1)="Y",$H18="Y"),"High","Medium")</f>
        <v>Medium</v>
      </c>
      <c r="O18" s="7"/>
      <c r="P18" s="7"/>
      <c r="Q18" s="11" t="str">
        <f aca="false">IF($O18="","",IF($O18="High",30,IF($O18="Medium",20,IF($O18="Low",10,0)))+IF($M18="Y",5,0)+IF($P18="S",3,IF($P18="M",2,IF($P18="L",1,0))))</f>
        <v/>
      </c>
      <c r="R18" s="11" t="str">
        <f aca="false">IF($Q18="","",RANK($Q18,$Q$4:$Q$61,0))</f>
        <v/>
      </c>
      <c r="S18" s="7"/>
      <c r="T18" s="7"/>
      <c r="U18" s="7"/>
      <c r="V18" s="7"/>
    </row>
    <row r="19" customFormat="false" ht="30" hidden="false" customHeight="true" outlineLevel="0" collapsed="false">
      <c r="A19" s="12" t="s">
        <v>138</v>
      </c>
      <c r="B19" s="12" t="s">
        <v>133</v>
      </c>
      <c r="C19" s="12" t="s">
        <v>139</v>
      </c>
      <c r="D19" s="12" t="s">
        <v>140</v>
      </c>
      <c r="E19" s="12" t="s">
        <v>141</v>
      </c>
      <c r="F19" s="12" t="s">
        <v>142</v>
      </c>
      <c r="G19" s="12" t="s">
        <v>78</v>
      </c>
      <c r="H19" s="12" t="s">
        <v>78</v>
      </c>
      <c r="I19" s="7" t="s">
        <v>35</v>
      </c>
      <c r="J19" s="7"/>
      <c r="K19" s="7"/>
      <c r="L19" s="7"/>
      <c r="M19" s="7"/>
      <c r="N19" s="11" t="str">
        <f aca="false">IF(OR(LEFT($G19,1)="Y",$H19="Y"),"High","Medium")</f>
        <v>Medium</v>
      </c>
      <c r="O19" s="7"/>
      <c r="P19" s="7"/>
      <c r="Q19" s="11" t="str">
        <f aca="false">IF($O19="","",IF($O19="High",30,IF($O19="Medium",20,IF($O19="Low",10,0)))+IF($M19="Y",5,0)+IF($P19="S",3,IF($P19="M",2,IF($P19="L",1,0))))</f>
        <v/>
      </c>
      <c r="R19" s="11" t="str">
        <f aca="false">IF($Q19="","",RANK($Q19,$Q$4:$Q$61,0))</f>
        <v/>
      </c>
      <c r="S19" s="7"/>
      <c r="T19" s="7"/>
      <c r="U19" s="7"/>
      <c r="V19" s="7"/>
    </row>
    <row r="20" customFormat="false" ht="30" hidden="false" customHeight="true" outlineLevel="0" collapsed="false">
      <c r="A20" s="10" t="s">
        <v>143</v>
      </c>
      <c r="B20" s="10" t="s">
        <v>133</v>
      </c>
      <c r="C20" s="10" t="s">
        <v>144</v>
      </c>
      <c r="D20" s="10" t="s">
        <v>145</v>
      </c>
      <c r="E20" s="10" t="s">
        <v>141</v>
      </c>
      <c r="F20" s="10" t="s">
        <v>146</v>
      </c>
      <c r="G20" s="10" t="s">
        <v>78</v>
      </c>
      <c r="H20" s="10" t="s">
        <v>78</v>
      </c>
      <c r="I20" s="7" t="s">
        <v>35</v>
      </c>
      <c r="J20" s="7"/>
      <c r="K20" s="7"/>
      <c r="L20" s="7"/>
      <c r="M20" s="7"/>
      <c r="N20" s="11" t="str">
        <f aca="false">IF(OR(LEFT($G20,1)="Y",$H20="Y"),"High","Medium")</f>
        <v>Medium</v>
      </c>
      <c r="O20" s="7"/>
      <c r="P20" s="7"/>
      <c r="Q20" s="11" t="str">
        <f aca="false">IF($O20="","",IF($O20="High",30,IF($O20="Medium",20,IF($O20="Low",10,0)))+IF($M20="Y",5,0)+IF($P20="S",3,IF($P20="M",2,IF($P20="L",1,0))))</f>
        <v/>
      </c>
      <c r="R20" s="11" t="str">
        <f aca="false">IF($Q20="","",RANK($Q20,$Q$4:$Q$61,0))</f>
        <v/>
      </c>
      <c r="S20" s="7"/>
      <c r="T20" s="7"/>
      <c r="U20" s="7"/>
      <c r="V20" s="7"/>
    </row>
    <row r="21" customFormat="false" ht="30" hidden="false" customHeight="true" outlineLevel="0" collapsed="false">
      <c r="A21" s="12" t="s">
        <v>147</v>
      </c>
      <c r="B21" s="12" t="s">
        <v>133</v>
      </c>
      <c r="C21" s="12" t="s">
        <v>148</v>
      </c>
      <c r="D21" s="12" t="s">
        <v>149</v>
      </c>
      <c r="E21" s="12" t="s">
        <v>141</v>
      </c>
      <c r="F21" s="12" t="s">
        <v>137</v>
      </c>
      <c r="G21" s="12" t="s">
        <v>35</v>
      </c>
      <c r="H21" s="12" t="s">
        <v>78</v>
      </c>
      <c r="I21" s="7" t="s">
        <v>35</v>
      </c>
      <c r="J21" s="7"/>
      <c r="K21" s="7"/>
      <c r="L21" s="7"/>
      <c r="M21" s="7"/>
      <c r="N21" s="11" t="str">
        <f aca="false">IF(OR(LEFT($G21,1)="Y",$H21="Y"),"High","Medium")</f>
        <v>High</v>
      </c>
      <c r="O21" s="7"/>
      <c r="P21" s="7"/>
      <c r="Q21" s="11" t="str">
        <f aca="false">IF($O21="","",IF($O21="High",30,IF($O21="Medium",20,IF($O21="Low",10,0)))+IF($M21="Y",5,0)+IF($P21="S",3,IF($P21="M",2,IF($P21="L",1,0))))</f>
        <v/>
      </c>
      <c r="R21" s="11" t="str">
        <f aca="false">IF($Q21="","",RANK($Q21,$Q$4:$Q$61,0))</f>
        <v/>
      </c>
      <c r="S21" s="7"/>
      <c r="T21" s="7"/>
      <c r="U21" s="7"/>
      <c r="V21" s="7"/>
    </row>
    <row r="22" customFormat="false" ht="30" hidden="false" customHeight="true" outlineLevel="0" collapsed="false">
      <c r="A22" s="10" t="s">
        <v>150</v>
      </c>
      <c r="B22" s="10" t="s">
        <v>133</v>
      </c>
      <c r="C22" s="10" t="s">
        <v>151</v>
      </c>
      <c r="D22" s="10" t="s">
        <v>152</v>
      </c>
      <c r="E22" s="10" t="s">
        <v>141</v>
      </c>
      <c r="F22" s="10" t="s">
        <v>153</v>
      </c>
      <c r="G22" s="10" t="s">
        <v>35</v>
      </c>
      <c r="H22" s="10" t="s">
        <v>78</v>
      </c>
      <c r="I22" s="7" t="s">
        <v>35</v>
      </c>
      <c r="J22" s="7"/>
      <c r="K22" s="7"/>
      <c r="L22" s="7"/>
      <c r="M22" s="7"/>
      <c r="N22" s="11" t="str">
        <f aca="false">IF(OR(LEFT($G22,1)="Y",$H22="Y"),"High","Medium")</f>
        <v>High</v>
      </c>
      <c r="O22" s="7"/>
      <c r="P22" s="7"/>
      <c r="Q22" s="11" t="str">
        <f aca="false">IF($O22="","",IF($O22="High",30,IF($O22="Medium",20,IF($O22="Low",10,0)))+IF($M22="Y",5,0)+IF($P22="S",3,IF($P22="M",2,IF($P22="L",1,0))))</f>
        <v/>
      </c>
      <c r="R22" s="11" t="str">
        <f aca="false">IF($Q22="","",RANK($Q22,$Q$4:$Q$61,0))</f>
        <v/>
      </c>
      <c r="S22" s="7"/>
      <c r="T22" s="7"/>
      <c r="U22" s="7"/>
      <c r="V22" s="7"/>
    </row>
    <row r="23" customFormat="false" ht="30" hidden="false" customHeight="true" outlineLevel="0" collapsed="false">
      <c r="A23" s="12" t="s">
        <v>154</v>
      </c>
      <c r="B23" s="12" t="s">
        <v>133</v>
      </c>
      <c r="C23" s="12" t="s">
        <v>155</v>
      </c>
      <c r="D23" s="12" t="s">
        <v>156</v>
      </c>
      <c r="E23" s="12" t="s">
        <v>141</v>
      </c>
      <c r="F23" s="12" t="s">
        <v>157</v>
      </c>
      <c r="G23" s="12" t="s">
        <v>35</v>
      </c>
      <c r="H23" s="12" t="s">
        <v>78</v>
      </c>
      <c r="I23" s="7" t="s">
        <v>35</v>
      </c>
      <c r="J23" s="7"/>
      <c r="K23" s="7"/>
      <c r="L23" s="7"/>
      <c r="M23" s="7"/>
      <c r="N23" s="11" t="str">
        <f aca="false">IF(OR(LEFT($G23,1)="Y",$H23="Y"),"High","Medium")</f>
        <v>High</v>
      </c>
      <c r="O23" s="7"/>
      <c r="P23" s="7"/>
      <c r="Q23" s="11" t="str">
        <f aca="false">IF($O23="","",IF($O23="High",30,IF($O23="Medium",20,IF($O23="Low",10,0)))+IF($M23="Y",5,0)+IF($P23="S",3,IF($P23="M",2,IF($P23="L",1,0))))</f>
        <v/>
      </c>
      <c r="R23" s="11" t="str">
        <f aca="false">IF($Q23="","",RANK($Q23,$Q$4:$Q$61,0))</f>
        <v/>
      </c>
      <c r="S23" s="7"/>
      <c r="T23" s="7"/>
      <c r="U23" s="7"/>
      <c r="V23" s="7"/>
    </row>
    <row r="24" customFormat="false" ht="30" hidden="false" customHeight="true" outlineLevel="0" collapsed="false">
      <c r="A24" s="10" t="s">
        <v>158</v>
      </c>
      <c r="B24" s="10" t="s">
        <v>133</v>
      </c>
      <c r="C24" s="10" t="s">
        <v>159</v>
      </c>
      <c r="D24" s="10" t="s">
        <v>160</v>
      </c>
      <c r="E24" s="10" t="s">
        <v>141</v>
      </c>
      <c r="F24" s="10" t="s">
        <v>161</v>
      </c>
      <c r="G24" s="10" t="s">
        <v>35</v>
      </c>
      <c r="H24" s="10" t="s">
        <v>78</v>
      </c>
      <c r="I24" s="7" t="s">
        <v>35</v>
      </c>
      <c r="J24" s="7"/>
      <c r="K24" s="7"/>
      <c r="L24" s="7"/>
      <c r="M24" s="7"/>
      <c r="N24" s="11" t="str">
        <f aca="false">IF(OR(LEFT($G24,1)="Y",$H24="Y"),"High","Medium")</f>
        <v>High</v>
      </c>
      <c r="O24" s="7"/>
      <c r="P24" s="7"/>
      <c r="Q24" s="11" t="str">
        <f aca="false">IF($O24="","",IF($O24="High",30,IF($O24="Medium",20,IF($O24="Low",10,0)))+IF($M24="Y",5,0)+IF($P24="S",3,IF($P24="M",2,IF($P24="L",1,0))))</f>
        <v/>
      </c>
      <c r="R24" s="11" t="str">
        <f aca="false">IF($Q24="","",RANK($Q24,$Q$4:$Q$61,0))</f>
        <v/>
      </c>
      <c r="S24" s="7"/>
      <c r="T24" s="7"/>
      <c r="U24" s="7"/>
      <c r="V24" s="7"/>
    </row>
    <row r="25" customFormat="false" ht="30" hidden="false" customHeight="true" outlineLevel="0" collapsed="false">
      <c r="A25" s="12" t="s">
        <v>162</v>
      </c>
      <c r="B25" s="12" t="s">
        <v>133</v>
      </c>
      <c r="C25" s="12" t="s">
        <v>163</v>
      </c>
      <c r="D25" s="12" t="s">
        <v>164</v>
      </c>
      <c r="E25" s="12" t="s">
        <v>141</v>
      </c>
      <c r="F25" s="12" t="s">
        <v>165</v>
      </c>
      <c r="G25" s="12" t="s">
        <v>35</v>
      </c>
      <c r="H25" s="12" t="s">
        <v>78</v>
      </c>
      <c r="I25" s="7" t="s">
        <v>35</v>
      </c>
      <c r="J25" s="7"/>
      <c r="K25" s="7"/>
      <c r="L25" s="7"/>
      <c r="M25" s="7"/>
      <c r="N25" s="11" t="str">
        <f aca="false">IF(OR(LEFT($G25,1)="Y",$H25="Y"),"High","Medium")</f>
        <v>High</v>
      </c>
      <c r="O25" s="7"/>
      <c r="P25" s="7"/>
      <c r="Q25" s="11" t="str">
        <f aca="false">IF($O25="","",IF($O25="High",30,IF($O25="Medium",20,IF($O25="Low",10,0)))+IF($M25="Y",5,0)+IF($P25="S",3,IF($P25="M",2,IF($P25="L",1,0))))</f>
        <v/>
      </c>
      <c r="R25" s="11" t="str">
        <f aca="false">IF($Q25="","",RANK($Q25,$Q$4:$Q$61,0))</f>
        <v/>
      </c>
      <c r="S25" s="7"/>
      <c r="T25" s="7"/>
      <c r="U25" s="7"/>
      <c r="V25" s="7"/>
    </row>
    <row r="26" customFormat="false" ht="30" hidden="false" customHeight="true" outlineLevel="0" collapsed="false">
      <c r="A26" s="10" t="s">
        <v>166</v>
      </c>
      <c r="B26" s="10" t="s">
        <v>133</v>
      </c>
      <c r="C26" s="10" t="s">
        <v>167</v>
      </c>
      <c r="D26" s="10" t="s">
        <v>164</v>
      </c>
      <c r="E26" s="10" t="s">
        <v>141</v>
      </c>
      <c r="F26" s="10" t="s">
        <v>165</v>
      </c>
      <c r="G26" s="10" t="s">
        <v>35</v>
      </c>
      <c r="H26" s="10" t="s">
        <v>78</v>
      </c>
      <c r="I26" s="7" t="s">
        <v>35</v>
      </c>
      <c r="J26" s="7"/>
      <c r="K26" s="7"/>
      <c r="L26" s="7"/>
      <c r="M26" s="7"/>
      <c r="N26" s="11" t="str">
        <f aca="false">IF(OR(LEFT($G26,1)="Y",$H26="Y"),"High","Medium")</f>
        <v>High</v>
      </c>
      <c r="O26" s="7"/>
      <c r="P26" s="7"/>
      <c r="Q26" s="11" t="str">
        <f aca="false">IF($O26="","",IF($O26="High",30,IF($O26="Medium",20,IF($O26="Low",10,0)))+IF($M26="Y",5,0)+IF($P26="S",3,IF($P26="M",2,IF($P26="L",1,0))))</f>
        <v/>
      </c>
      <c r="R26" s="11" t="str">
        <f aca="false">IF($Q26="","",RANK($Q26,$Q$4:$Q$61,0))</f>
        <v/>
      </c>
      <c r="S26" s="7"/>
      <c r="T26" s="7"/>
      <c r="U26" s="7"/>
      <c r="V26" s="7"/>
    </row>
    <row r="27" customFormat="false" ht="30" hidden="false" customHeight="true" outlineLevel="0" collapsed="false">
      <c r="A27" s="12" t="s">
        <v>168</v>
      </c>
      <c r="B27" s="12" t="s">
        <v>133</v>
      </c>
      <c r="C27" s="12" t="s">
        <v>169</v>
      </c>
      <c r="D27" s="12" t="s">
        <v>170</v>
      </c>
      <c r="E27" s="12" t="s">
        <v>141</v>
      </c>
      <c r="F27" s="12" t="s">
        <v>171</v>
      </c>
      <c r="G27" s="12" t="s">
        <v>35</v>
      </c>
      <c r="H27" s="12" t="s">
        <v>78</v>
      </c>
      <c r="I27" s="7" t="s">
        <v>35</v>
      </c>
      <c r="J27" s="7"/>
      <c r="K27" s="7"/>
      <c r="L27" s="7"/>
      <c r="M27" s="7"/>
      <c r="N27" s="11" t="str">
        <f aca="false">IF(OR(LEFT($G27,1)="Y",$H27="Y"),"High","Medium")</f>
        <v>High</v>
      </c>
      <c r="O27" s="7"/>
      <c r="P27" s="7"/>
      <c r="Q27" s="11" t="str">
        <f aca="false">IF($O27="","",IF($O27="High",30,IF($O27="Medium",20,IF($O27="Low",10,0)))+IF($M27="Y",5,0)+IF($P27="S",3,IF($P27="M",2,IF($P27="L",1,0))))</f>
        <v/>
      </c>
      <c r="R27" s="11" t="str">
        <f aca="false">IF($Q27="","",RANK($Q27,$Q$4:$Q$61,0))</f>
        <v/>
      </c>
      <c r="S27" s="7"/>
      <c r="T27" s="7"/>
      <c r="U27" s="7"/>
      <c r="V27" s="7"/>
    </row>
    <row r="28" customFormat="false" ht="30" hidden="false" customHeight="true" outlineLevel="0" collapsed="false">
      <c r="A28" s="10" t="s">
        <v>172</v>
      </c>
      <c r="B28" s="10" t="s">
        <v>133</v>
      </c>
      <c r="C28" s="10" t="s">
        <v>173</v>
      </c>
      <c r="D28" s="10" t="s">
        <v>174</v>
      </c>
      <c r="E28" s="10" t="s">
        <v>141</v>
      </c>
      <c r="F28" s="10" t="s">
        <v>175</v>
      </c>
      <c r="G28" s="10" t="s">
        <v>78</v>
      </c>
      <c r="H28" s="10" t="s">
        <v>78</v>
      </c>
      <c r="I28" s="7" t="s">
        <v>35</v>
      </c>
      <c r="J28" s="7"/>
      <c r="K28" s="7"/>
      <c r="L28" s="7"/>
      <c r="M28" s="7"/>
      <c r="N28" s="11" t="str">
        <f aca="false">IF(OR(LEFT($G28,1)="Y",$H28="Y"),"High","Medium")</f>
        <v>Medium</v>
      </c>
      <c r="O28" s="7"/>
      <c r="P28" s="7"/>
      <c r="Q28" s="11" t="str">
        <f aca="false">IF($O28="","",IF($O28="High",30,IF($O28="Medium",20,IF($O28="Low",10,0)))+IF($M28="Y",5,0)+IF($P28="S",3,IF($P28="M",2,IF($P28="L",1,0))))</f>
        <v/>
      </c>
      <c r="R28" s="11" t="str">
        <f aca="false">IF($Q28="","",RANK($Q28,$Q$4:$Q$61,0))</f>
        <v/>
      </c>
      <c r="S28" s="7"/>
      <c r="T28" s="7"/>
      <c r="U28" s="7"/>
      <c r="V28" s="7"/>
    </row>
    <row r="29" customFormat="false" ht="30" hidden="false" customHeight="true" outlineLevel="0" collapsed="false">
      <c r="A29" s="12" t="s">
        <v>176</v>
      </c>
      <c r="B29" s="12" t="s">
        <v>133</v>
      </c>
      <c r="C29" s="12" t="s">
        <v>177</v>
      </c>
      <c r="D29" s="12" t="s">
        <v>178</v>
      </c>
      <c r="E29" s="12" t="s">
        <v>141</v>
      </c>
      <c r="F29" s="12" t="s">
        <v>179</v>
      </c>
      <c r="G29" s="12" t="s">
        <v>78</v>
      </c>
      <c r="H29" s="12" t="s">
        <v>78</v>
      </c>
      <c r="I29" s="7" t="s">
        <v>35</v>
      </c>
      <c r="J29" s="7"/>
      <c r="K29" s="7"/>
      <c r="L29" s="7"/>
      <c r="M29" s="7"/>
      <c r="N29" s="11" t="str">
        <f aca="false">IF(OR(LEFT($G29,1)="Y",$H29="Y"),"High","Medium")</f>
        <v>Medium</v>
      </c>
      <c r="O29" s="7"/>
      <c r="P29" s="7"/>
      <c r="Q29" s="11" t="str">
        <f aca="false">IF($O29="","",IF($O29="High",30,IF($O29="Medium",20,IF($O29="Low",10,0)))+IF($M29="Y",5,0)+IF($P29="S",3,IF($P29="M",2,IF($P29="L",1,0))))</f>
        <v/>
      </c>
      <c r="R29" s="11" t="str">
        <f aca="false">IF($Q29="","",RANK($Q29,$Q$4:$Q$61,0))</f>
        <v/>
      </c>
      <c r="S29" s="7"/>
      <c r="T29" s="7"/>
      <c r="U29" s="7"/>
      <c r="V29" s="7"/>
    </row>
    <row r="30" customFormat="false" ht="30" hidden="false" customHeight="true" outlineLevel="0" collapsed="false">
      <c r="A30" s="10" t="s">
        <v>180</v>
      </c>
      <c r="B30" s="10" t="s">
        <v>181</v>
      </c>
      <c r="C30" s="10" t="s">
        <v>182</v>
      </c>
      <c r="D30" s="10" t="s">
        <v>183</v>
      </c>
      <c r="E30" s="10" t="s">
        <v>103</v>
      </c>
      <c r="F30" s="10" t="s">
        <v>184</v>
      </c>
      <c r="G30" s="10" t="s">
        <v>78</v>
      </c>
      <c r="H30" s="10" t="s">
        <v>78</v>
      </c>
      <c r="I30" s="7" t="s">
        <v>35</v>
      </c>
      <c r="J30" s="7"/>
      <c r="K30" s="7"/>
      <c r="L30" s="7"/>
      <c r="M30" s="7"/>
      <c r="N30" s="11" t="str">
        <f aca="false">IF(OR(LEFT($G30,1)="Y",$H30="Y"),"High","Medium")</f>
        <v>Medium</v>
      </c>
      <c r="O30" s="7"/>
      <c r="P30" s="7"/>
      <c r="Q30" s="11" t="str">
        <f aca="false">IF($O30="","",IF($O30="High",30,IF($O30="Medium",20,IF($O30="Low",10,0)))+IF($M30="Y",5,0)+IF($P30="S",3,IF($P30="M",2,IF($P30="L",1,0))))</f>
        <v/>
      </c>
      <c r="R30" s="11" t="str">
        <f aca="false">IF($Q30="","",RANK($Q30,$Q$4:$Q$61,0))</f>
        <v/>
      </c>
      <c r="S30" s="7"/>
      <c r="T30" s="7"/>
      <c r="U30" s="7"/>
      <c r="V30" s="7"/>
    </row>
    <row r="31" customFormat="false" ht="30" hidden="false" customHeight="true" outlineLevel="0" collapsed="false">
      <c r="A31" s="12" t="s">
        <v>185</v>
      </c>
      <c r="B31" s="12" t="s">
        <v>181</v>
      </c>
      <c r="C31" s="12" t="s">
        <v>186</v>
      </c>
      <c r="D31" s="12" t="s">
        <v>187</v>
      </c>
      <c r="E31" s="12" t="s">
        <v>103</v>
      </c>
      <c r="F31" s="12" t="s">
        <v>188</v>
      </c>
      <c r="G31" s="12" t="s">
        <v>78</v>
      </c>
      <c r="H31" s="12" t="s">
        <v>78</v>
      </c>
      <c r="I31" s="7" t="s">
        <v>35</v>
      </c>
      <c r="J31" s="7"/>
      <c r="K31" s="7"/>
      <c r="L31" s="7"/>
      <c r="M31" s="7"/>
      <c r="N31" s="11" t="str">
        <f aca="false">IF(OR(LEFT($G31,1)="Y",$H31="Y"),"High","Medium")</f>
        <v>Medium</v>
      </c>
      <c r="O31" s="7"/>
      <c r="P31" s="7"/>
      <c r="Q31" s="11" t="str">
        <f aca="false">IF($O31="","",IF($O31="High",30,IF($O31="Medium",20,IF($O31="Low",10,0)))+IF($M31="Y",5,0)+IF($P31="S",3,IF($P31="M",2,IF($P31="L",1,0))))</f>
        <v/>
      </c>
      <c r="R31" s="11" t="str">
        <f aca="false">IF($Q31="","",RANK($Q31,$Q$4:$Q$61,0))</f>
        <v/>
      </c>
      <c r="S31" s="7"/>
      <c r="T31" s="7"/>
      <c r="U31" s="7"/>
      <c r="V31" s="7"/>
    </row>
    <row r="32" customFormat="false" ht="30" hidden="false" customHeight="true" outlineLevel="0" collapsed="false">
      <c r="A32" s="10" t="s">
        <v>189</v>
      </c>
      <c r="B32" s="10" t="s">
        <v>181</v>
      </c>
      <c r="C32" s="10" t="s">
        <v>190</v>
      </c>
      <c r="D32" s="10" t="s">
        <v>191</v>
      </c>
      <c r="E32" s="10" t="s">
        <v>98</v>
      </c>
      <c r="F32" s="10" t="s">
        <v>192</v>
      </c>
      <c r="G32" s="10" t="s">
        <v>35</v>
      </c>
      <c r="H32" s="10" t="s">
        <v>78</v>
      </c>
      <c r="I32" s="7" t="s">
        <v>35</v>
      </c>
      <c r="J32" s="7"/>
      <c r="K32" s="7"/>
      <c r="L32" s="7"/>
      <c r="M32" s="7"/>
      <c r="N32" s="11" t="str">
        <f aca="false">IF(OR(LEFT($G32,1)="Y",$H32="Y"),"High","Medium")</f>
        <v>High</v>
      </c>
      <c r="O32" s="7"/>
      <c r="P32" s="7"/>
      <c r="Q32" s="11" t="str">
        <f aca="false">IF($O32="","",IF($O32="High",30,IF($O32="Medium",20,IF($O32="Low",10,0)))+IF($M32="Y",5,0)+IF($P32="S",3,IF($P32="M",2,IF($P32="L",1,0))))</f>
        <v/>
      </c>
      <c r="R32" s="11" t="str">
        <f aca="false">IF($Q32="","",RANK($Q32,$Q$4:$Q$61,0))</f>
        <v/>
      </c>
      <c r="S32" s="7"/>
      <c r="T32" s="7"/>
      <c r="U32" s="7"/>
      <c r="V32" s="7"/>
    </row>
    <row r="33" customFormat="false" ht="30" hidden="false" customHeight="true" outlineLevel="0" collapsed="false">
      <c r="A33" s="12" t="s">
        <v>193</v>
      </c>
      <c r="B33" s="12" t="s">
        <v>181</v>
      </c>
      <c r="C33" s="12" t="s">
        <v>194</v>
      </c>
      <c r="D33" s="12" t="s">
        <v>195</v>
      </c>
      <c r="E33" s="12" t="s">
        <v>103</v>
      </c>
      <c r="F33" s="12" t="s">
        <v>196</v>
      </c>
      <c r="G33" s="12" t="s">
        <v>78</v>
      </c>
      <c r="H33" s="12" t="s">
        <v>78</v>
      </c>
      <c r="I33" s="7" t="s">
        <v>35</v>
      </c>
      <c r="J33" s="7"/>
      <c r="K33" s="7"/>
      <c r="L33" s="7"/>
      <c r="M33" s="7"/>
      <c r="N33" s="11" t="str">
        <f aca="false">IF(OR(LEFT($G33,1)="Y",$H33="Y"),"High","Medium")</f>
        <v>Medium</v>
      </c>
      <c r="O33" s="7"/>
      <c r="P33" s="7"/>
      <c r="Q33" s="11" t="str">
        <f aca="false">IF($O33="","",IF($O33="High",30,IF($O33="Medium",20,IF($O33="Low",10,0)))+IF($M33="Y",5,0)+IF($P33="S",3,IF($P33="M",2,IF($P33="L",1,0))))</f>
        <v/>
      </c>
      <c r="R33" s="11" t="str">
        <f aca="false">IF($Q33="","",RANK($Q33,$Q$4:$Q$61,0))</f>
        <v/>
      </c>
      <c r="S33" s="7"/>
      <c r="T33" s="7"/>
      <c r="U33" s="7"/>
      <c r="V33" s="7"/>
    </row>
    <row r="34" customFormat="false" ht="30" hidden="false" customHeight="true" outlineLevel="0" collapsed="false">
      <c r="A34" s="10" t="s">
        <v>197</v>
      </c>
      <c r="B34" s="10" t="s">
        <v>181</v>
      </c>
      <c r="C34" s="10" t="s">
        <v>198</v>
      </c>
      <c r="D34" s="10" t="s">
        <v>199</v>
      </c>
      <c r="E34" s="10" t="s">
        <v>200</v>
      </c>
      <c r="F34" s="10" t="s">
        <v>201</v>
      </c>
      <c r="G34" s="10" t="s">
        <v>78</v>
      </c>
      <c r="H34" s="10" t="s">
        <v>78</v>
      </c>
      <c r="I34" s="7" t="s">
        <v>35</v>
      </c>
      <c r="J34" s="7"/>
      <c r="K34" s="7"/>
      <c r="L34" s="7"/>
      <c r="M34" s="7"/>
      <c r="N34" s="11" t="str">
        <f aca="false">IF(OR(LEFT($G34,1)="Y",$H34="Y"),"High","Medium")</f>
        <v>Medium</v>
      </c>
      <c r="O34" s="7"/>
      <c r="P34" s="7"/>
      <c r="Q34" s="11" t="str">
        <f aca="false">IF($O34="","",IF($O34="High",30,IF($O34="Medium",20,IF($O34="Low",10,0)))+IF($M34="Y",5,0)+IF($P34="S",3,IF($P34="M",2,IF($P34="L",1,0))))</f>
        <v/>
      </c>
      <c r="R34" s="11" t="str">
        <f aca="false">IF($Q34="","",RANK($Q34,$Q$4:$Q$61,0))</f>
        <v/>
      </c>
      <c r="S34" s="7"/>
      <c r="T34" s="7"/>
      <c r="U34" s="7"/>
      <c r="V34" s="7"/>
    </row>
    <row r="35" customFormat="false" ht="30" hidden="false" customHeight="true" outlineLevel="0" collapsed="false">
      <c r="A35" s="12" t="s">
        <v>202</v>
      </c>
      <c r="B35" s="12" t="s">
        <v>181</v>
      </c>
      <c r="C35" s="12" t="s">
        <v>203</v>
      </c>
      <c r="D35" s="12" t="s">
        <v>204</v>
      </c>
      <c r="E35" s="12" t="s">
        <v>103</v>
      </c>
      <c r="F35" s="12" t="s">
        <v>205</v>
      </c>
      <c r="G35" s="12" t="s">
        <v>35</v>
      </c>
      <c r="H35" s="12" t="s">
        <v>78</v>
      </c>
      <c r="I35" s="7" t="s">
        <v>35</v>
      </c>
      <c r="J35" s="7"/>
      <c r="K35" s="7"/>
      <c r="L35" s="7"/>
      <c r="M35" s="7"/>
      <c r="N35" s="11" t="str">
        <f aca="false">IF(OR(LEFT($G35,1)="Y",$H35="Y"),"High","Medium")</f>
        <v>High</v>
      </c>
      <c r="O35" s="7"/>
      <c r="P35" s="7"/>
      <c r="Q35" s="11" t="str">
        <f aca="false">IF($O35="","",IF($O35="High",30,IF($O35="Medium",20,IF($O35="Low",10,0)))+IF($M35="Y",5,0)+IF($P35="S",3,IF($P35="M",2,IF($P35="L",1,0))))</f>
        <v/>
      </c>
      <c r="R35" s="11" t="str">
        <f aca="false">IF($Q35="","",RANK($Q35,$Q$4:$Q$61,0))</f>
        <v/>
      </c>
      <c r="S35" s="7"/>
      <c r="T35" s="7"/>
      <c r="U35" s="7"/>
      <c r="V35" s="7"/>
    </row>
    <row r="36" customFormat="false" ht="30" hidden="false" customHeight="true" outlineLevel="0" collapsed="false">
      <c r="A36" s="10" t="s">
        <v>206</v>
      </c>
      <c r="B36" s="10" t="s">
        <v>181</v>
      </c>
      <c r="C36" s="10" t="s">
        <v>207</v>
      </c>
      <c r="D36" s="10" t="s">
        <v>208</v>
      </c>
      <c r="E36" s="10" t="s">
        <v>103</v>
      </c>
      <c r="F36" s="10" t="s">
        <v>209</v>
      </c>
      <c r="G36" s="10" t="s">
        <v>210</v>
      </c>
      <c r="H36" s="10" t="s">
        <v>78</v>
      </c>
      <c r="I36" s="7" t="s">
        <v>35</v>
      </c>
      <c r="J36" s="7"/>
      <c r="K36" s="7"/>
      <c r="L36" s="7"/>
      <c r="M36" s="7"/>
      <c r="N36" s="11" t="str">
        <f aca="false">IF(OR(LEFT($G36,1)="Y",$H36="Y"),"High","Medium")</f>
        <v>High</v>
      </c>
      <c r="O36" s="7"/>
      <c r="P36" s="7"/>
      <c r="Q36" s="11" t="str">
        <f aca="false">IF($O36="","",IF($O36="High",30,IF($O36="Medium",20,IF($O36="Low",10,0)))+IF($M36="Y",5,0)+IF($P36="S",3,IF($P36="M",2,IF($P36="L",1,0))))</f>
        <v/>
      </c>
      <c r="R36" s="11" t="str">
        <f aca="false">IF($Q36="","",RANK($Q36,$Q$4:$Q$61,0))</f>
        <v/>
      </c>
      <c r="S36" s="7"/>
      <c r="T36" s="7"/>
      <c r="U36" s="7"/>
      <c r="V36" s="7"/>
    </row>
    <row r="37" customFormat="false" ht="30" hidden="false" customHeight="true" outlineLevel="0" collapsed="false">
      <c r="A37" s="12" t="s">
        <v>211</v>
      </c>
      <c r="B37" s="12" t="s">
        <v>181</v>
      </c>
      <c r="C37" s="12" t="s">
        <v>212</v>
      </c>
      <c r="D37" s="12" t="s">
        <v>213</v>
      </c>
      <c r="E37" s="12" t="s">
        <v>214</v>
      </c>
      <c r="F37" s="12" t="s">
        <v>215</v>
      </c>
      <c r="G37" s="12" t="s">
        <v>35</v>
      </c>
      <c r="H37" s="12" t="s">
        <v>78</v>
      </c>
      <c r="I37" s="7" t="s">
        <v>35</v>
      </c>
      <c r="J37" s="7"/>
      <c r="K37" s="7"/>
      <c r="L37" s="7"/>
      <c r="M37" s="7"/>
      <c r="N37" s="11" t="str">
        <f aca="false">IF(OR(LEFT($G37,1)="Y",$H37="Y"),"High","Medium")</f>
        <v>High</v>
      </c>
      <c r="O37" s="7"/>
      <c r="P37" s="7"/>
      <c r="Q37" s="11" t="str">
        <f aca="false">IF($O37="","",IF($O37="High",30,IF($O37="Medium",20,IF($O37="Low",10,0)))+IF($M37="Y",5,0)+IF($P37="S",3,IF($P37="M",2,IF($P37="L",1,0))))</f>
        <v/>
      </c>
      <c r="R37" s="11" t="str">
        <f aca="false">IF($Q37="","",RANK($Q37,$Q$4:$Q$61,0))</f>
        <v/>
      </c>
      <c r="S37" s="7"/>
      <c r="T37" s="7"/>
      <c r="U37" s="7"/>
      <c r="V37" s="7"/>
    </row>
    <row r="38" customFormat="false" ht="30" hidden="false" customHeight="true" outlineLevel="0" collapsed="false">
      <c r="A38" s="10" t="s">
        <v>216</v>
      </c>
      <c r="B38" s="10" t="s">
        <v>181</v>
      </c>
      <c r="C38" s="10" t="s">
        <v>217</v>
      </c>
      <c r="D38" s="10" t="s">
        <v>218</v>
      </c>
      <c r="E38" s="10" t="s">
        <v>103</v>
      </c>
      <c r="F38" s="10" t="s">
        <v>82</v>
      </c>
      <c r="G38" s="10" t="s">
        <v>78</v>
      </c>
      <c r="H38" s="10" t="s">
        <v>78</v>
      </c>
      <c r="I38" s="7" t="s">
        <v>35</v>
      </c>
      <c r="J38" s="7"/>
      <c r="K38" s="7"/>
      <c r="L38" s="7"/>
      <c r="M38" s="7"/>
      <c r="N38" s="11" t="str">
        <f aca="false">IF(OR(LEFT($G38,1)="Y",$H38="Y"),"High","Medium")</f>
        <v>Medium</v>
      </c>
      <c r="O38" s="7"/>
      <c r="P38" s="7"/>
      <c r="Q38" s="11" t="str">
        <f aca="false">IF($O38="","",IF($O38="High",30,IF($O38="Medium",20,IF($O38="Low",10,0)))+IF($M38="Y",5,0)+IF($P38="S",3,IF($P38="M",2,IF($P38="L",1,0))))</f>
        <v/>
      </c>
      <c r="R38" s="11" t="str">
        <f aca="false">IF($Q38="","",RANK($Q38,$Q$4:$Q$61,0))</f>
        <v/>
      </c>
      <c r="S38" s="7"/>
      <c r="T38" s="7"/>
      <c r="U38" s="7"/>
      <c r="V38" s="7"/>
    </row>
    <row r="39" customFormat="false" ht="30" hidden="false" customHeight="true" outlineLevel="0" collapsed="false">
      <c r="A39" s="12" t="s">
        <v>219</v>
      </c>
      <c r="B39" s="12" t="s">
        <v>181</v>
      </c>
      <c r="C39" s="12" t="s">
        <v>220</v>
      </c>
      <c r="D39" s="12" t="s">
        <v>221</v>
      </c>
      <c r="E39" s="12" t="s">
        <v>103</v>
      </c>
      <c r="F39" s="12" t="s">
        <v>222</v>
      </c>
      <c r="G39" s="12" t="s">
        <v>78</v>
      </c>
      <c r="H39" s="12" t="s">
        <v>78</v>
      </c>
      <c r="I39" s="7" t="s">
        <v>35</v>
      </c>
      <c r="J39" s="7"/>
      <c r="K39" s="7"/>
      <c r="L39" s="7"/>
      <c r="M39" s="7"/>
      <c r="N39" s="11" t="str">
        <f aca="false">IF(OR(LEFT($G39,1)="Y",$H39="Y"),"High","Medium")</f>
        <v>Medium</v>
      </c>
      <c r="O39" s="7"/>
      <c r="P39" s="7"/>
      <c r="Q39" s="11" t="str">
        <f aca="false">IF($O39="","",IF($O39="High",30,IF($O39="Medium",20,IF($O39="Low",10,0)))+IF($M39="Y",5,0)+IF($P39="S",3,IF($P39="M",2,IF($P39="L",1,0))))</f>
        <v/>
      </c>
      <c r="R39" s="11" t="str">
        <f aca="false">IF($Q39="","",RANK($Q39,$Q$4:$Q$61,0))</f>
        <v/>
      </c>
      <c r="S39" s="7"/>
      <c r="T39" s="7"/>
      <c r="U39" s="7"/>
      <c r="V39" s="7"/>
    </row>
    <row r="40" customFormat="false" ht="30" hidden="false" customHeight="true" outlineLevel="0" collapsed="false">
      <c r="A40" s="10" t="s">
        <v>223</v>
      </c>
      <c r="B40" s="10" t="s">
        <v>181</v>
      </c>
      <c r="C40" s="10" t="s">
        <v>224</v>
      </c>
      <c r="D40" s="10" t="s">
        <v>225</v>
      </c>
      <c r="E40" s="10" t="s">
        <v>103</v>
      </c>
      <c r="F40" s="10" t="s">
        <v>226</v>
      </c>
      <c r="G40" s="10" t="s">
        <v>78</v>
      </c>
      <c r="H40" s="10" t="s">
        <v>78</v>
      </c>
      <c r="I40" s="7" t="s">
        <v>35</v>
      </c>
      <c r="J40" s="7"/>
      <c r="K40" s="7"/>
      <c r="L40" s="7"/>
      <c r="M40" s="7"/>
      <c r="N40" s="11" t="str">
        <f aca="false">IF(OR(LEFT($G40,1)="Y",$H40="Y"),"High","Medium")</f>
        <v>Medium</v>
      </c>
      <c r="O40" s="7"/>
      <c r="P40" s="7"/>
      <c r="Q40" s="11" t="str">
        <f aca="false">IF($O40="","",IF($O40="High",30,IF($O40="Medium",20,IF($O40="Low",10,0)))+IF($M40="Y",5,0)+IF($P40="S",3,IF($P40="M",2,IF($P40="L",1,0))))</f>
        <v/>
      </c>
      <c r="R40" s="11" t="str">
        <f aca="false">IF($Q40="","",RANK($Q40,$Q$4:$Q$61,0))</f>
        <v/>
      </c>
      <c r="S40" s="7"/>
      <c r="T40" s="7"/>
      <c r="U40" s="7"/>
      <c r="V40" s="7"/>
    </row>
    <row r="41" customFormat="false" ht="30" hidden="false" customHeight="true" outlineLevel="0" collapsed="false">
      <c r="A41" s="12" t="s">
        <v>227</v>
      </c>
      <c r="B41" s="12" t="s">
        <v>228</v>
      </c>
      <c r="C41" s="12" t="s">
        <v>229</v>
      </c>
      <c r="D41" s="12" t="s">
        <v>230</v>
      </c>
      <c r="E41" s="12" t="s">
        <v>103</v>
      </c>
      <c r="F41" s="12" t="s">
        <v>231</v>
      </c>
      <c r="G41" s="12" t="s">
        <v>78</v>
      </c>
      <c r="H41" s="12" t="s">
        <v>78</v>
      </c>
      <c r="I41" s="7" t="s">
        <v>35</v>
      </c>
      <c r="J41" s="7"/>
      <c r="K41" s="7"/>
      <c r="L41" s="7"/>
      <c r="M41" s="7"/>
      <c r="N41" s="11" t="str">
        <f aca="false">IF(OR(LEFT($G41,1)="Y",$H41="Y"),"High","Medium")</f>
        <v>Medium</v>
      </c>
      <c r="O41" s="7"/>
      <c r="P41" s="7"/>
      <c r="Q41" s="11" t="str">
        <f aca="false">IF($O41="","",IF($O41="High",30,IF($O41="Medium",20,IF($O41="Low",10,0)))+IF($M41="Y",5,0)+IF($P41="S",3,IF($P41="M",2,IF($P41="L",1,0))))</f>
        <v/>
      </c>
      <c r="R41" s="11" t="str">
        <f aca="false">IF($Q41="","",RANK($Q41,$Q$4:$Q$61,0))</f>
        <v/>
      </c>
      <c r="S41" s="7"/>
      <c r="T41" s="7"/>
      <c r="U41" s="7"/>
      <c r="V41" s="7"/>
    </row>
    <row r="42" customFormat="false" ht="30" hidden="false" customHeight="true" outlineLevel="0" collapsed="false">
      <c r="A42" s="10" t="s">
        <v>232</v>
      </c>
      <c r="B42" s="10" t="s">
        <v>228</v>
      </c>
      <c r="C42" s="10" t="s">
        <v>233</v>
      </c>
      <c r="D42" s="10" t="s">
        <v>234</v>
      </c>
      <c r="E42" s="10" t="s">
        <v>103</v>
      </c>
      <c r="F42" s="10" t="s">
        <v>235</v>
      </c>
      <c r="G42" s="10" t="s">
        <v>35</v>
      </c>
      <c r="H42" s="10" t="s">
        <v>35</v>
      </c>
      <c r="I42" s="7" t="s">
        <v>35</v>
      </c>
      <c r="J42" s="7"/>
      <c r="K42" s="7"/>
      <c r="L42" s="7"/>
      <c r="M42" s="7"/>
      <c r="N42" s="11" t="str">
        <f aca="false">IF(OR(LEFT($G42,1)="Y",$H42="Y"),"High","Medium")</f>
        <v>High</v>
      </c>
      <c r="O42" s="7"/>
      <c r="P42" s="7"/>
      <c r="Q42" s="11" t="str">
        <f aca="false">IF($O42="","",IF($O42="High",30,IF($O42="Medium",20,IF($O42="Low",10,0)))+IF($M42="Y",5,0)+IF($P42="S",3,IF($P42="M",2,IF($P42="L",1,0))))</f>
        <v/>
      </c>
      <c r="R42" s="11" t="str">
        <f aca="false">IF($Q42="","",RANK($Q42,$Q$4:$Q$61,0))</f>
        <v/>
      </c>
      <c r="S42" s="7"/>
      <c r="T42" s="7"/>
      <c r="U42" s="7"/>
      <c r="V42" s="7"/>
    </row>
    <row r="43" customFormat="false" ht="30" hidden="false" customHeight="true" outlineLevel="0" collapsed="false">
      <c r="A43" s="12" t="s">
        <v>236</v>
      </c>
      <c r="B43" s="12" t="s">
        <v>228</v>
      </c>
      <c r="C43" s="12" t="s">
        <v>237</v>
      </c>
      <c r="D43" s="12" t="s">
        <v>238</v>
      </c>
      <c r="E43" s="12" t="s">
        <v>239</v>
      </c>
      <c r="F43" s="12" t="s">
        <v>240</v>
      </c>
      <c r="G43" s="12" t="s">
        <v>35</v>
      </c>
      <c r="H43" s="12" t="s">
        <v>35</v>
      </c>
      <c r="I43" s="7" t="s">
        <v>35</v>
      </c>
      <c r="J43" s="7"/>
      <c r="K43" s="7"/>
      <c r="L43" s="7"/>
      <c r="M43" s="7"/>
      <c r="N43" s="11" t="str">
        <f aca="false">IF(OR(LEFT($G43,1)="Y",$H43="Y"),"High","Medium")</f>
        <v>High</v>
      </c>
      <c r="O43" s="7"/>
      <c r="P43" s="7"/>
      <c r="Q43" s="11" t="str">
        <f aca="false">IF($O43="","",IF($O43="High",30,IF($O43="Medium",20,IF($O43="Low",10,0)))+IF($M43="Y",5,0)+IF($P43="S",3,IF($P43="M",2,IF($P43="L",1,0))))</f>
        <v/>
      </c>
      <c r="R43" s="11" t="str">
        <f aca="false">IF($Q43="","",RANK($Q43,$Q$4:$Q$61,0))</f>
        <v/>
      </c>
      <c r="S43" s="7"/>
      <c r="T43" s="7"/>
      <c r="U43" s="7"/>
      <c r="V43" s="7"/>
    </row>
    <row r="44" customFormat="false" ht="30" hidden="false" customHeight="true" outlineLevel="0" collapsed="false">
      <c r="A44" s="10" t="s">
        <v>241</v>
      </c>
      <c r="B44" s="10" t="s">
        <v>228</v>
      </c>
      <c r="C44" s="10" t="s">
        <v>242</v>
      </c>
      <c r="D44" s="10" t="s">
        <v>243</v>
      </c>
      <c r="E44" s="10" t="s">
        <v>103</v>
      </c>
      <c r="F44" s="10" t="s">
        <v>244</v>
      </c>
      <c r="G44" s="10" t="s">
        <v>35</v>
      </c>
      <c r="H44" s="10" t="s">
        <v>78</v>
      </c>
      <c r="I44" s="7" t="s">
        <v>35</v>
      </c>
      <c r="J44" s="7"/>
      <c r="K44" s="7"/>
      <c r="L44" s="7"/>
      <c r="M44" s="7"/>
      <c r="N44" s="11" t="str">
        <f aca="false">IF(OR(LEFT($G44,1)="Y",$H44="Y"),"High","Medium")</f>
        <v>High</v>
      </c>
      <c r="O44" s="7"/>
      <c r="P44" s="7"/>
      <c r="Q44" s="11" t="str">
        <f aca="false">IF($O44="","",IF($O44="High",30,IF($O44="Medium",20,IF($O44="Low",10,0)))+IF($M44="Y",5,0)+IF($P44="S",3,IF($P44="M",2,IF($P44="L",1,0))))</f>
        <v/>
      </c>
      <c r="R44" s="11" t="str">
        <f aca="false">IF($Q44="","",RANK($Q44,$Q$4:$Q$61,0))</f>
        <v/>
      </c>
      <c r="S44" s="7"/>
      <c r="T44" s="7"/>
      <c r="U44" s="7"/>
      <c r="V44" s="7"/>
    </row>
    <row r="45" customFormat="false" ht="30" hidden="false" customHeight="true" outlineLevel="0" collapsed="false">
      <c r="A45" s="12" t="s">
        <v>245</v>
      </c>
      <c r="B45" s="12" t="s">
        <v>228</v>
      </c>
      <c r="C45" s="12" t="s">
        <v>246</v>
      </c>
      <c r="D45" s="12" t="s">
        <v>247</v>
      </c>
      <c r="E45" s="12" t="s">
        <v>103</v>
      </c>
      <c r="F45" s="12" t="s">
        <v>248</v>
      </c>
      <c r="G45" s="12" t="s">
        <v>78</v>
      </c>
      <c r="H45" s="12" t="s">
        <v>78</v>
      </c>
      <c r="I45" s="7" t="s">
        <v>35</v>
      </c>
      <c r="J45" s="7"/>
      <c r="K45" s="7"/>
      <c r="L45" s="7"/>
      <c r="M45" s="7"/>
      <c r="N45" s="11" t="str">
        <f aca="false">IF(OR(LEFT($G45,1)="Y",$H45="Y"),"High","Medium")</f>
        <v>Medium</v>
      </c>
      <c r="O45" s="7"/>
      <c r="P45" s="7"/>
      <c r="Q45" s="11" t="str">
        <f aca="false">IF($O45="","",IF($O45="High",30,IF($O45="Medium",20,IF($O45="Low",10,0)))+IF($M45="Y",5,0)+IF($P45="S",3,IF($P45="M",2,IF($P45="L",1,0))))</f>
        <v/>
      </c>
      <c r="R45" s="11" t="str">
        <f aca="false">IF($Q45="","",RANK($Q45,$Q$4:$Q$61,0))</f>
        <v/>
      </c>
      <c r="S45" s="7"/>
      <c r="T45" s="7"/>
      <c r="U45" s="7"/>
      <c r="V45" s="7"/>
    </row>
    <row r="46" customFormat="false" ht="30" hidden="false" customHeight="true" outlineLevel="0" collapsed="false">
      <c r="A46" s="10" t="s">
        <v>249</v>
      </c>
      <c r="B46" s="10" t="s">
        <v>228</v>
      </c>
      <c r="C46" s="10" t="s">
        <v>250</v>
      </c>
      <c r="D46" s="10" t="s">
        <v>251</v>
      </c>
      <c r="E46" s="10" t="s">
        <v>103</v>
      </c>
      <c r="F46" s="10" t="s">
        <v>252</v>
      </c>
      <c r="G46" s="10" t="s">
        <v>78</v>
      </c>
      <c r="H46" s="10" t="s">
        <v>78</v>
      </c>
      <c r="I46" s="7" t="s">
        <v>35</v>
      </c>
      <c r="J46" s="7"/>
      <c r="K46" s="7"/>
      <c r="L46" s="7"/>
      <c r="M46" s="7"/>
      <c r="N46" s="11" t="str">
        <f aca="false">IF(OR(LEFT($G46,1)="Y",$H46="Y"),"High","Medium")</f>
        <v>Medium</v>
      </c>
      <c r="O46" s="7"/>
      <c r="P46" s="7"/>
      <c r="Q46" s="11" t="str">
        <f aca="false">IF($O46="","",IF($O46="High",30,IF($O46="Medium",20,IF($O46="Low",10,0)))+IF($M46="Y",5,0)+IF($P46="S",3,IF($P46="M",2,IF($P46="L",1,0))))</f>
        <v/>
      </c>
      <c r="R46" s="11" t="str">
        <f aca="false">IF($Q46="","",RANK($Q46,$Q$4:$Q$61,0))</f>
        <v/>
      </c>
      <c r="S46" s="7"/>
      <c r="T46" s="7"/>
      <c r="U46" s="7"/>
      <c r="V46" s="7"/>
    </row>
    <row r="47" customFormat="false" ht="30" hidden="false" customHeight="true" outlineLevel="0" collapsed="false">
      <c r="A47" s="12" t="s">
        <v>253</v>
      </c>
      <c r="B47" s="12" t="s">
        <v>228</v>
      </c>
      <c r="C47" s="12" t="s">
        <v>254</v>
      </c>
      <c r="D47" s="12" t="s">
        <v>255</v>
      </c>
      <c r="E47" s="12" t="s">
        <v>256</v>
      </c>
      <c r="F47" s="12" t="s">
        <v>257</v>
      </c>
      <c r="G47" s="12" t="s">
        <v>35</v>
      </c>
      <c r="H47" s="12" t="s">
        <v>78</v>
      </c>
      <c r="I47" s="7" t="s">
        <v>35</v>
      </c>
      <c r="J47" s="7"/>
      <c r="K47" s="7"/>
      <c r="L47" s="7"/>
      <c r="M47" s="7"/>
      <c r="N47" s="11" t="str">
        <f aca="false">IF(OR(LEFT($G47,1)="Y",$H47="Y"),"High","Medium")</f>
        <v>High</v>
      </c>
      <c r="O47" s="7"/>
      <c r="P47" s="7"/>
      <c r="Q47" s="11" t="str">
        <f aca="false">IF($O47="","",IF($O47="High",30,IF($O47="Medium",20,IF($O47="Low",10,0)))+IF($M47="Y",5,0)+IF($P47="S",3,IF($P47="M",2,IF($P47="L",1,0))))</f>
        <v/>
      </c>
      <c r="R47" s="11" t="str">
        <f aca="false">IF($Q47="","",RANK($Q47,$Q$4:$Q$61,0))</f>
        <v/>
      </c>
      <c r="S47" s="7"/>
      <c r="T47" s="7"/>
      <c r="U47" s="7"/>
      <c r="V47" s="7"/>
    </row>
    <row r="48" customFormat="false" ht="30" hidden="false" customHeight="true" outlineLevel="0" collapsed="false">
      <c r="A48" s="10" t="s">
        <v>258</v>
      </c>
      <c r="B48" s="10" t="s">
        <v>228</v>
      </c>
      <c r="C48" s="10" t="s">
        <v>259</v>
      </c>
      <c r="D48" s="10" t="s">
        <v>260</v>
      </c>
      <c r="E48" s="10" t="s">
        <v>103</v>
      </c>
      <c r="F48" s="10" t="s">
        <v>261</v>
      </c>
      <c r="G48" s="10" t="s">
        <v>35</v>
      </c>
      <c r="H48" s="10" t="s">
        <v>78</v>
      </c>
      <c r="I48" s="7" t="s">
        <v>35</v>
      </c>
      <c r="J48" s="7"/>
      <c r="K48" s="7"/>
      <c r="L48" s="7"/>
      <c r="M48" s="7"/>
      <c r="N48" s="11" t="str">
        <f aca="false">IF(OR(LEFT($G48,1)="Y",$H48="Y"),"High","Medium")</f>
        <v>High</v>
      </c>
      <c r="O48" s="7"/>
      <c r="P48" s="7"/>
      <c r="Q48" s="11" t="str">
        <f aca="false">IF($O48="","",IF($O48="High",30,IF($O48="Medium",20,IF($O48="Low",10,0)))+IF($M48="Y",5,0)+IF($P48="S",3,IF($P48="M",2,IF($P48="L",1,0))))</f>
        <v/>
      </c>
      <c r="R48" s="11" t="str">
        <f aca="false">IF($Q48="","",RANK($Q48,$Q$4:$Q$61,0))</f>
        <v/>
      </c>
      <c r="S48" s="7"/>
      <c r="T48" s="7"/>
      <c r="U48" s="7"/>
      <c r="V48" s="7"/>
    </row>
    <row r="49" customFormat="false" ht="30" hidden="false" customHeight="true" outlineLevel="0" collapsed="false">
      <c r="A49" s="12" t="s">
        <v>262</v>
      </c>
      <c r="B49" s="12" t="s">
        <v>228</v>
      </c>
      <c r="C49" s="12" t="s">
        <v>263</v>
      </c>
      <c r="D49" s="12" t="s">
        <v>264</v>
      </c>
      <c r="E49" s="12" t="s">
        <v>103</v>
      </c>
      <c r="F49" s="12" t="s">
        <v>265</v>
      </c>
      <c r="G49" s="12" t="s">
        <v>35</v>
      </c>
      <c r="H49" s="12" t="s">
        <v>35</v>
      </c>
      <c r="I49" s="7" t="s">
        <v>35</v>
      </c>
      <c r="J49" s="7"/>
      <c r="K49" s="7"/>
      <c r="L49" s="7"/>
      <c r="M49" s="7"/>
      <c r="N49" s="11" t="str">
        <f aca="false">IF(OR(LEFT($G49,1)="Y",$H49="Y"),"High","Medium")</f>
        <v>High</v>
      </c>
      <c r="O49" s="7"/>
      <c r="P49" s="7"/>
      <c r="Q49" s="11" t="str">
        <f aca="false">IF($O49="","",IF($O49="High",30,IF($O49="Medium",20,IF($O49="Low",10,0)))+IF($M49="Y",5,0)+IF($P49="S",3,IF($P49="M",2,IF($P49="L",1,0))))</f>
        <v/>
      </c>
      <c r="R49" s="11" t="str">
        <f aca="false">IF($Q49="","",RANK($Q49,$Q$4:$Q$61,0))</f>
        <v/>
      </c>
      <c r="S49" s="7"/>
      <c r="T49" s="7"/>
      <c r="U49" s="7"/>
      <c r="V49" s="7"/>
    </row>
    <row r="50" customFormat="false" ht="30" hidden="false" customHeight="true" outlineLevel="0" collapsed="false">
      <c r="A50" s="10" t="s">
        <v>266</v>
      </c>
      <c r="B50" s="10" t="s">
        <v>228</v>
      </c>
      <c r="C50" s="10" t="s">
        <v>267</v>
      </c>
      <c r="D50" s="10" t="s">
        <v>268</v>
      </c>
      <c r="E50" s="10" t="s">
        <v>103</v>
      </c>
      <c r="F50" s="10" t="s">
        <v>265</v>
      </c>
      <c r="G50" s="10" t="s">
        <v>35</v>
      </c>
      <c r="H50" s="10" t="s">
        <v>78</v>
      </c>
      <c r="I50" s="7" t="s">
        <v>35</v>
      </c>
      <c r="J50" s="7"/>
      <c r="K50" s="7"/>
      <c r="L50" s="7"/>
      <c r="M50" s="7"/>
      <c r="N50" s="11" t="str">
        <f aca="false">IF(OR(LEFT($G50,1)="Y",$H50="Y"),"High","Medium")</f>
        <v>High</v>
      </c>
      <c r="O50" s="7"/>
      <c r="P50" s="7"/>
      <c r="Q50" s="11" t="str">
        <f aca="false">IF($O50="","",IF($O50="High",30,IF($O50="Medium",20,IF($O50="Low",10,0)))+IF($M50="Y",5,0)+IF($P50="S",3,IF($P50="M",2,IF($P50="L",1,0))))</f>
        <v/>
      </c>
      <c r="R50" s="11" t="str">
        <f aca="false">IF($Q50="","",RANK($Q50,$Q$4:$Q$61,0))</f>
        <v/>
      </c>
      <c r="S50" s="7"/>
      <c r="T50" s="7"/>
      <c r="U50" s="7"/>
      <c r="V50" s="7"/>
    </row>
    <row r="51" customFormat="false" ht="30" hidden="false" customHeight="true" outlineLevel="0" collapsed="false">
      <c r="A51" s="12" t="s">
        <v>269</v>
      </c>
      <c r="B51" s="12" t="s">
        <v>270</v>
      </c>
      <c r="C51" s="12" t="s">
        <v>271</v>
      </c>
      <c r="D51" s="12" t="s">
        <v>272</v>
      </c>
      <c r="E51" s="12" t="s">
        <v>103</v>
      </c>
      <c r="F51" s="12" t="s">
        <v>273</v>
      </c>
      <c r="G51" s="12" t="s">
        <v>35</v>
      </c>
      <c r="H51" s="12" t="s">
        <v>35</v>
      </c>
      <c r="I51" s="7" t="s">
        <v>35</v>
      </c>
      <c r="J51" s="7"/>
      <c r="K51" s="7"/>
      <c r="L51" s="7"/>
      <c r="M51" s="7"/>
      <c r="N51" s="11" t="str">
        <f aca="false">IF(OR(LEFT($G51,1)="Y",$H51="Y"),"High","Medium")</f>
        <v>High</v>
      </c>
      <c r="O51" s="7"/>
      <c r="P51" s="7"/>
      <c r="Q51" s="11" t="str">
        <f aca="false">IF($O51="","",IF($O51="High",30,IF($O51="Medium",20,IF($O51="Low",10,0)))+IF($M51="Y",5,0)+IF($P51="S",3,IF($P51="M",2,IF($P51="L",1,0))))</f>
        <v/>
      </c>
      <c r="R51" s="11" t="str">
        <f aca="false">IF($Q51="","",RANK($Q51,$Q$4:$Q$61,0))</f>
        <v/>
      </c>
      <c r="S51" s="7"/>
      <c r="T51" s="7"/>
      <c r="U51" s="7"/>
      <c r="V51" s="7"/>
    </row>
    <row r="52" customFormat="false" ht="30" hidden="false" customHeight="true" outlineLevel="0" collapsed="false">
      <c r="A52" s="10" t="s">
        <v>274</v>
      </c>
      <c r="B52" s="10" t="s">
        <v>270</v>
      </c>
      <c r="C52" s="10" t="s">
        <v>275</v>
      </c>
      <c r="D52" s="10" t="s">
        <v>276</v>
      </c>
      <c r="E52" s="10" t="s">
        <v>103</v>
      </c>
      <c r="F52" s="10" t="s">
        <v>277</v>
      </c>
      <c r="G52" s="10" t="s">
        <v>78</v>
      </c>
      <c r="H52" s="10" t="s">
        <v>35</v>
      </c>
      <c r="I52" s="7" t="s">
        <v>35</v>
      </c>
      <c r="J52" s="7"/>
      <c r="K52" s="7"/>
      <c r="L52" s="7"/>
      <c r="M52" s="7"/>
      <c r="N52" s="11" t="str">
        <f aca="false">IF(OR(LEFT($G52,1)="Y",$H52="Y"),"High","Medium")</f>
        <v>High</v>
      </c>
      <c r="O52" s="7"/>
      <c r="P52" s="7"/>
      <c r="Q52" s="11" t="str">
        <f aca="false">IF($O52="","",IF($O52="High",30,IF($O52="Medium",20,IF($O52="Low",10,0)))+IF($M52="Y",5,0)+IF($P52="S",3,IF($P52="M",2,IF($P52="L",1,0))))</f>
        <v/>
      </c>
      <c r="R52" s="11" t="str">
        <f aca="false">IF($Q52="","",RANK($Q52,$Q$4:$Q$61,0))</f>
        <v/>
      </c>
      <c r="S52" s="7"/>
      <c r="T52" s="7"/>
      <c r="U52" s="7"/>
      <c r="V52" s="7"/>
    </row>
    <row r="53" customFormat="false" ht="30" hidden="false" customHeight="true" outlineLevel="0" collapsed="false">
      <c r="A53" s="12" t="s">
        <v>278</v>
      </c>
      <c r="B53" s="12" t="s">
        <v>270</v>
      </c>
      <c r="C53" s="12" t="s">
        <v>279</v>
      </c>
      <c r="D53" s="12" t="s">
        <v>280</v>
      </c>
      <c r="E53" s="12" t="s">
        <v>103</v>
      </c>
      <c r="F53" s="12" t="s">
        <v>281</v>
      </c>
      <c r="G53" s="12" t="s">
        <v>78</v>
      </c>
      <c r="H53" s="12" t="s">
        <v>35</v>
      </c>
      <c r="I53" s="7" t="s">
        <v>35</v>
      </c>
      <c r="J53" s="7"/>
      <c r="K53" s="7"/>
      <c r="L53" s="7"/>
      <c r="M53" s="7"/>
      <c r="N53" s="11" t="str">
        <f aca="false">IF(OR(LEFT($G53,1)="Y",$H53="Y"),"High","Medium")</f>
        <v>High</v>
      </c>
      <c r="O53" s="7"/>
      <c r="P53" s="7"/>
      <c r="Q53" s="11" t="str">
        <f aca="false">IF($O53="","",IF($O53="High",30,IF($O53="Medium",20,IF($O53="Low",10,0)))+IF($M53="Y",5,0)+IF($P53="S",3,IF($P53="M",2,IF($P53="L",1,0))))</f>
        <v/>
      </c>
      <c r="R53" s="11" t="str">
        <f aca="false">IF($Q53="","",RANK($Q53,$Q$4:$Q$61,0))</f>
        <v/>
      </c>
      <c r="S53" s="7"/>
      <c r="T53" s="7"/>
      <c r="U53" s="7"/>
      <c r="V53" s="7"/>
    </row>
    <row r="54" customFormat="false" ht="30" hidden="false" customHeight="true" outlineLevel="0" collapsed="false">
      <c r="A54" s="10" t="s">
        <v>282</v>
      </c>
      <c r="B54" s="10" t="s">
        <v>283</v>
      </c>
      <c r="C54" s="10" t="s">
        <v>284</v>
      </c>
      <c r="D54" s="10" t="s">
        <v>285</v>
      </c>
      <c r="E54" s="10" t="s">
        <v>103</v>
      </c>
      <c r="F54" s="10" t="s">
        <v>286</v>
      </c>
      <c r="G54" s="10" t="s">
        <v>78</v>
      </c>
      <c r="H54" s="10" t="s">
        <v>78</v>
      </c>
      <c r="I54" s="7" t="s">
        <v>35</v>
      </c>
      <c r="J54" s="7"/>
      <c r="K54" s="7"/>
      <c r="L54" s="7"/>
      <c r="M54" s="7"/>
      <c r="N54" s="11" t="str">
        <f aca="false">IF(OR(LEFT($G54,1)="Y",$H54="Y"),"High","Medium")</f>
        <v>Medium</v>
      </c>
      <c r="O54" s="7"/>
      <c r="P54" s="7"/>
      <c r="Q54" s="11" t="str">
        <f aca="false">IF($O54="","",IF($O54="High",30,IF($O54="Medium",20,IF($O54="Low",10,0)))+IF($M54="Y",5,0)+IF($P54="S",3,IF($P54="M",2,IF($P54="L",1,0))))</f>
        <v/>
      </c>
      <c r="R54" s="11" t="str">
        <f aca="false">IF($Q54="","",RANK($Q54,$Q$4:$Q$61,0))</f>
        <v/>
      </c>
      <c r="S54" s="7"/>
      <c r="T54" s="7"/>
      <c r="U54" s="7"/>
      <c r="V54" s="7"/>
    </row>
    <row r="55" customFormat="false" ht="30" hidden="false" customHeight="true" outlineLevel="0" collapsed="false">
      <c r="A55" s="12" t="s">
        <v>287</v>
      </c>
      <c r="B55" s="12" t="s">
        <v>283</v>
      </c>
      <c r="C55" s="12" t="s">
        <v>288</v>
      </c>
      <c r="D55" s="12" t="s">
        <v>289</v>
      </c>
      <c r="E55" s="12" t="s">
        <v>103</v>
      </c>
      <c r="F55" s="12" t="s">
        <v>86</v>
      </c>
      <c r="G55" s="12" t="s">
        <v>78</v>
      </c>
      <c r="H55" s="12" t="s">
        <v>78</v>
      </c>
      <c r="I55" s="7" t="s">
        <v>35</v>
      </c>
      <c r="J55" s="7"/>
      <c r="K55" s="7"/>
      <c r="L55" s="7"/>
      <c r="M55" s="7"/>
      <c r="N55" s="11" t="str">
        <f aca="false">IF(OR(LEFT($G55,1)="Y",$H55="Y"),"High","Medium")</f>
        <v>Medium</v>
      </c>
      <c r="O55" s="7"/>
      <c r="P55" s="7"/>
      <c r="Q55" s="11" t="str">
        <f aca="false">IF($O55="","",IF($O55="High",30,IF($O55="Medium",20,IF($O55="Low",10,0)))+IF($M55="Y",5,0)+IF($P55="S",3,IF($P55="M",2,IF($P55="L",1,0))))</f>
        <v/>
      </c>
      <c r="R55" s="11" t="str">
        <f aca="false">IF($Q55="","",RANK($Q55,$Q$4:$Q$61,0))</f>
        <v/>
      </c>
      <c r="S55" s="7"/>
      <c r="T55" s="7"/>
      <c r="U55" s="7"/>
      <c r="V55" s="7"/>
    </row>
    <row r="56" customFormat="false" ht="30" hidden="false" customHeight="true" outlineLevel="0" collapsed="false">
      <c r="A56" s="10" t="s">
        <v>290</v>
      </c>
      <c r="B56" s="10" t="s">
        <v>283</v>
      </c>
      <c r="C56" s="10" t="s">
        <v>291</v>
      </c>
      <c r="D56" s="10" t="s">
        <v>292</v>
      </c>
      <c r="E56" s="10" t="s">
        <v>103</v>
      </c>
      <c r="F56" s="10" t="s">
        <v>293</v>
      </c>
      <c r="G56" s="10" t="s">
        <v>35</v>
      </c>
      <c r="H56" s="10" t="s">
        <v>78</v>
      </c>
      <c r="I56" s="7" t="s">
        <v>35</v>
      </c>
      <c r="J56" s="7"/>
      <c r="K56" s="7"/>
      <c r="L56" s="7"/>
      <c r="M56" s="7"/>
      <c r="N56" s="11" t="str">
        <f aca="false">IF(OR(LEFT($G56,1)="Y",$H56="Y"),"High","Medium")</f>
        <v>High</v>
      </c>
      <c r="O56" s="7"/>
      <c r="P56" s="7"/>
      <c r="Q56" s="11" t="str">
        <f aca="false">IF($O56="","",IF($O56="High",30,IF($O56="Medium",20,IF($O56="Low",10,0)))+IF($M56="Y",5,0)+IF($P56="S",3,IF($P56="M",2,IF($P56="L",1,0))))</f>
        <v/>
      </c>
      <c r="R56" s="11" t="str">
        <f aca="false">IF($Q56="","",RANK($Q56,$Q$4:$Q$61,0))</f>
        <v/>
      </c>
      <c r="S56" s="7"/>
      <c r="T56" s="7"/>
      <c r="U56" s="7"/>
      <c r="V56" s="7"/>
    </row>
    <row r="57" customFormat="false" ht="30" hidden="false" customHeight="true" outlineLevel="0" collapsed="false">
      <c r="A57" s="12" t="s">
        <v>294</v>
      </c>
      <c r="B57" s="12" t="s">
        <v>283</v>
      </c>
      <c r="C57" s="12" t="s">
        <v>295</v>
      </c>
      <c r="D57" s="12" t="s">
        <v>280</v>
      </c>
      <c r="E57" s="12" t="s">
        <v>103</v>
      </c>
      <c r="F57" s="12" t="s">
        <v>296</v>
      </c>
      <c r="G57" s="12" t="s">
        <v>78</v>
      </c>
      <c r="H57" s="12" t="s">
        <v>78</v>
      </c>
      <c r="I57" s="7" t="s">
        <v>35</v>
      </c>
      <c r="J57" s="7"/>
      <c r="K57" s="7"/>
      <c r="L57" s="7"/>
      <c r="M57" s="7"/>
      <c r="N57" s="11" t="str">
        <f aca="false">IF(OR(LEFT($G57,1)="Y",$H57="Y"),"High","Medium")</f>
        <v>Medium</v>
      </c>
      <c r="O57" s="7"/>
      <c r="P57" s="7"/>
      <c r="Q57" s="11" t="str">
        <f aca="false">IF($O57="","",IF($O57="High",30,IF($O57="Medium",20,IF($O57="Low",10,0)))+IF($M57="Y",5,0)+IF($P57="S",3,IF($P57="M",2,IF($P57="L",1,0))))</f>
        <v/>
      </c>
      <c r="R57" s="11" t="str">
        <f aca="false">IF($Q57="","",RANK($Q57,$Q$4:$Q$61,0))</f>
        <v/>
      </c>
      <c r="S57" s="7"/>
      <c r="T57" s="7"/>
      <c r="U57" s="7"/>
      <c r="V57" s="7"/>
    </row>
    <row r="58" customFormat="false" ht="30" hidden="false" customHeight="true" outlineLevel="0" collapsed="false">
      <c r="A58" s="10" t="s">
        <v>297</v>
      </c>
      <c r="B58" s="10" t="s">
        <v>298</v>
      </c>
      <c r="C58" s="10" t="s">
        <v>299</v>
      </c>
      <c r="D58" s="10" t="s">
        <v>300</v>
      </c>
      <c r="E58" s="10" t="s">
        <v>301</v>
      </c>
      <c r="F58" s="10" t="s">
        <v>302</v>
      </c>
      <c r="G58" s="10" t="s">
        <v>303</v>
      </c>
      <c r="H58" s="10" t="s">
        <v>78</v>
      </c>
      <c r="I58" s="7" t="s">
        <v>35</v>
      </c>
      <c r="J58" s="7"/>
      <c r="K58" s="7"/>
      <c r="L58" s="7"/>
      <c r="M58" s="7"/>
      <c r="N58" s="11" t="str">
        <f aca="false">IF(OR(LEFT($G58,1)="Y",$H58="Y"),"High","Medium")</f>
        <v>High</v>
      </c>
      <c r="O58" s="7"/>
      <c r="P58" s="7"/>
      <c r="Q58" s="11" t="str">
        <f aca="false">IF($O58="","",IF($O58="High",30,IF($O58="Medium",20,IF($O58="Low",10,0)))+IF($M58="Y",5,0)+IF($P58="S",3,IF($P58="M",2,IF($P58="L",1,0))))</f>
        <v/>
      </c>
      <c r="R58" s="11" t="str">
        <f aca="false">IF($Q58="","",RANK($Q58,$Q$4:$Q$61,0))</f>
        <v/>
      </c>
      <c r="S58" s="7"/>
      <c r="T58" s="7"/>
      <c r="U58" s="7"/>
      <c r="V58" s="7"/>
    </row>
    <row r="59" customFormat="false" ht="30" hidden="false" customHeight="true" outlineLevel="0" collapsed="false">
      <c r="A59" s="12" t="s">
        <v>304</v>
      </c>
      <c r="B59" s="12" t="s">
        <v>298</v>
      </c>
      <c r="C59" s="12" t="s">
        <v>305</v>
      </c>
      <c r="D59" s="12" t="s">
        <v>306</v>
      </c>
      <c r="E59" s="12" t="s">
        <v>307</v>
      </c>
      <c r="F59" s="12" t="s">
        <v>265</v>
      </c>
      <c r="G59" s="12" t="s">
        <v>303</v>
      </c>
      <c r="H59" s="12" t="s">
        <v>78</v>
      </c>
      <c r="I59" s="7" t="s">
        <v>35</v>
      </c>
      <c r="J59" s="7"/>
      <c r="K59" s="7"/>
      <c r="L59" s="7"/>
      <c r="M59" s="7"/>
      <c r="N59" s="11" t="str">
        <f aca="false">IF(OR(LEFT($G59,1)="Y",$H59="Y"),"High","Medium")</f>
        <v>High</v>
      </c>
      <c r="O59" s="7"/>
      <c r="P59" s="7"/>
      <c r="Q59" s="11" t="str">
        <f aca="false">IF($O59="","",IF($O59="High",30,IF($O59="Medium",20,IF($O59="Low",10,0)))+IF($M59="Y",5,0)+IF($P59="S",3,IF($P59="M",2,IF($P59="L",1,0))))</f>
        <v/>
      </c>
      <c r="R59" s="11" t="str">
        <f aca="false">IF($Q59="","",RANK($Q59,$Q$4:$Q$61,0))</f>
        <v/>
      </c>
      <c r="S59" s="7"/>
      <c r="T59" s="7"/>
      <c r="U59" s="7"/>
      <c r="V59" s="7"/>
    </row>
    <row r="60" customFormat="false" ht="30" hidden="false" customHeight="true" outlineLevel="0" collapsed="false">
      <c r="A60" s="10" t="s">
        <v>308</v>
      </c>
      <c r="B60" s="10" t="s">
        <v>298</v>
      </c>
      <c r="C60" s="10" t="s">
        <v>309</v>
      </c>
      <c r="D60" s="10" t="s">
        <v>310</v>
      </c>
      <c r="E60" s="10" t="s">
        <v>311</v>
      </c>
      <c r="F60" s="10" t="s">
        <v>312</v>
      </c>
      <c r="G60" s="10" t="s">
        <v>313</v>
      </c>
      <c r="H60" s="10" t="s">
        <v>78</v>
      </c>
      <c r="I60" s="7" t="s">
        <v>35</v>
      </c>
      <c r="J60" s="7"/>
      <c r="K60" s="7"/>
      <c r="L60" s="7"/>
      <c r="M60" s="7"/>
      <c r="N60" s="11" t="str">
        <f aca="false">IF(OR(LEFT($G60,1)="Y",$H60="Y"),"High","Medium")</f>
        <v>High</v>
      </c>
      <c r="O60" s="7"/>
      <c r="P60" s="7"/>
      <c r="Q60" s="11" t="str">
        <f aca="false">IF($O60="","",IF($O60="High",30,IF($O60="Medium",20,IF($O60="Low",10,0)))+IF($M60="Y",5,0)+IF($P60="S",3,IF($P60="M",2,IF($P60="L",1,0))))</f>
        <v/>
      </c>
      <c r="R60" s="11" t="str">
        <f aca="false">IF($Q60="","",RANK($Q60,$Q$4:$Q$61,0))</f>
        <v/>
      </c>
      <c r="S60" s="7"/>
      <c r="T60" s="7"/>
      <c r="U60" s="7"/>
      <c r="V60" s="7"/>
    </row>
    <row r="61" customFormat="false" ht="30" hidden="false" customHeight="true" outlineLevel="0" collapsed="false">
      <c r="A61" s="12" t="s">
        <v>314</v>
      </c>
      <c r="B61" s="12" t="s">
        <v>298</v>
      </c>
      <c r="C61" s="12" t="s">
        <v>315</v>
      </c>
      <c r="D61" s="12" t="s">
        <v>316</v>
      </c>
      <c r="E61" s="12" t="s">
        <v>317</v>
      </c>
      <c r="F61" s="12" t="s">
        <v>318</v>
      </c>
      <c r="G61" s="12" t="s">
        <v>303</v>
      </c>
      <c r="H61" s="12" t="s">
        <v>35</v>
      </c>
      <c r="I61" s="7" t="s">
        <v>35</v>
      </c>
      <c r="J61" s="7"/>
      <c r="K61" s="7"/>
      <c r="L61" s="7"/>
      <c r="M61" s="7"/>
      <c r="N61" s="11" t="str">
        <f aca="false">IF(OR(LEFT($G61,1)="Y",$H61="Y"),"High","Medium")</f>
        <v>High</v>
      </c>
      <c r="O61" s="7"/>
      <c r="P61" s="7"/>
      <c r="Q61" s="11" t="str">
        <f aca="false">IF($O61="","",IF($O61="High",30,IF($O61="Medium",20,IF($O61="Low",10,0)))+IF($M61="Y",5,0)+IF($P61="S",3,IF($P61="M",2,IF($P61="L",1,0))))</f>
        <v/>
      </c>
      <c r="R61" s="11" t="str">
        <f aca="false">IF($Q61="","",RANK($Q61,$Q$4:$Q$61,0))</f>
        <v/>
      </c>
      <c r="S61" s="7"/>
      <c r="T61" s="7"/>
      <c r="U61" s="7"/>
      <c r="V61" s="7"/>
    </row>
  </sheetData>
  <autoFilter ref="A3:V61"/>
  <dataValidations count="4">
    <dataValidation allowBlank="true" errorStyle="stop" operator="between" showDropDown="false" showErrorMessage="false" showInputMessage="false" sqref="I4:I61 M4:M61" type="list">
      <formula1>"Y,N"</formula1>
      <formula2>0</formula2>
    </dataValidation>
    <dataValidation allowBlank="true" errorStyle="stop" operator="between" showDropDown="false" showErrorMessage="false" showInputMessage="false" sqref="O4:O61" type="list">
      <formula1>"High,Medium,Low"</formula1>
      <formula2>0</formula2>
    </dataValidation>
    <dataValidation allowBlank="true" errorStyle="stop" operator="between" showDropDown="false" showErrorMessage="false" showInputMessage="false" sqref="P4:P61" type="list">
      <formula1>"S,M,L"</formula1>
      <formula2>0</formula2>
    </dataValidation>
    <dataValidation allowBlank="true" errorStyle="stop" operator="between" showDropDown="false" showErrorMessage="false" showInputMessage="false" sqref="V4:V61" type="list">
      <formula1>"Not started,In progress,Closed,Not applicable"</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QMSR Gap Assessment Workbook  -  Elder Consulting, LLC  -  &amp;A  -  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7" min="2" style="0" width="14"/>
  </cols>
  <sheetData>
    <row r="1" customFormat="false" ht="16.15" hidden="false" customHeight="false" outlineLevel="0" collapsed="false">
      <c r="A1" s="8" t="s">
        <v>319</v>
      </c>
    </row>
    <row r="2" customFormat="false" ht="15" hidden="false" customHeight="false" outlineLevel="0" collapsed="false">
      <c r="A2" s="2" t="s">
        <v>320</v>
      </c>
    </row>
    <row r="4" customFormat="false" ht="15" hidden="false" customHeight="false" outlineLevel="0" collapsed="false">
      <c r="A4" s="13" t="s">
        <v>321</v>
      </c>
      <c r="B4" s="13" t="s">
        <v>322</v>
      </c>
    </row>
    <row r="5" customFormat="false" ht="15" hidden="false" customHeight="false" outlineLevel="0" collapsed="false">
      <c r="A5" s="14" t="s">
        <v>323</v>
      </c>
      <c r="B5" s="15" t="n">
        <f aca="false">COUNTA('Gap assessment'!$A$4:$A$61)</f>
        <v>58</v>
      </c>
    </row>
    <row r="6" customFormat="false" ht="15" hidden="false" customHeight="false" outlineLevel="0" collapsed="false">
      <c r="A6" s="14" t="s">
        <v>324</v>
      </c>
      <c r="B6" s="15" t="n">
        <f aca="false">COUNTIF('Gap assessment'!$I$4:$I$61,"Y")</f>
        <v>58</v>
      </c>
    </row>
    <row r="7" customFormat="false" ht="15" hidden="false" customHeight="false" outlineLevel="0" collapsed="false">
      <c r="A7" s="14" t="s">
        <v>325</v>
      </c>
      <c r="B7" s="15" t="n">
        <f aca="false">COUNTIFS('Gap assessment'!$I$4:$I$61,"Y",'Gap assessment'!$K$4:$K$61,"&lt;&gt;")</f>
        <v>0</v>
      </c>
    </row>
    <row r="8" customFormat="false" ht="15" hidden="false" customHeight="false" outlineLevel="0" collapsed="false">
      <c r="A8" s="14" t="s">
        <v>326</v>
      </c>
      <c r="B8" s="15" t="n">
        <f aca="false">COUNTIF('Gap assessment'!$I$4:$I$61,"Y")-COUNTIFS('Gap assessment'!$I$4:$I$61,"Y",'Gap assessment'!$K$4:$K$61,"&lt;&gt;")</f>
        <v>58</v>
      </c>
    </row>
    <row r="9" customFormat="false" ht="15" hidden="false" customHeight="false" outlineLevel="0" collapsed="false">
      <c r="A9" s="14" t="s">
        <v>327</v>
      </c>
      <c r="B9" s="15" t="n">
        <f aca="false">COUNTIFS('Gap assessment'!$I$4:$I$61,"Y",'Gap assessment'!$M$4:$M$61,"Y")</f>
        <v>0</v>
      </c>
    </row>
    <row r="10" customFormat="false" ht="23.85" hidden="false" customHeight="false" outlineLevel="0" collapsed="false">
      <c r="A10" s="14" t="s">
        <v>328</v>
      </c>
      <c r="B10" s="15" t="n">
        <f aca="false">COUNTIFS('Gap assessment'!$I$4:$I$61,"Y",'Gap assessment'!$M$4:$M$61,"Y",'Gap assessment'!$O$4:$O$61,"High")</f>
        <v>0</v>
      </c>
    </row>
    <row r="11" customFormat="false" ht="15" hidden="false" customHeight="false" outlineLevel="0" collapsed="false">
      <c r="A11" s="14" t="s">
        <v>329</v>
      </c>
      <c r="B11" s="15" t="n">
        <f aca="false">COUNTIFS('Gap assessment'!$I$4:$I$61,"Y",'Gap assessment'!$M$4:$M$61,"Y",'Gap assessment'!$O$4:$O$61,"High",'Gap assessment'!$V$4:$V$61,"&lt;&gt;Closed")</f>
        <v>0</v>
      </c>
    </row>
    <row r="12" customFormat="false" ht="15" hidden="false" customHeight="false" outlineLevel="0" collapsed="false">
      <c r="A12" s="14" t="s">
        <v>330</v>
      </c>
      <c r="B12" s="15" t="n">
        <f aca="false">COUNTIFS('Gap assessment'!$I$4:$I$61,"Y",'Gap assessment'!$M$4:$M$61,"Y",'Gap assessment'!$S$4:$S$61,"")</f>
        <v>0</v>
      </c>
    </row>
    <row r="13" customFormat="false" ht="15" hidden="false" customHeight="false" outlineLevel="0" collapsed="false">
      <c r="A13" s="14" t="s">
        <v>331</v>
      </c>
      <c r="B13" s="15" t="n">
        <f aca="false">COUNTIFS('Gap assessment'!$I$4:$I$61,"Y",'Gap assessment'!$M$4:$M$61,"Y",'Gap assessment'!$V$4:$V$61,"Closed")</f>
        <v>0</v>
      </c>
    </row>
    <row r="16" customFormat="false" ht="22.35" hidden="false" customHeight="false" outlineLevel="0" collapsed="false">
      <c r="A16" s="13" t="s">
        <v>332</v>
      </c>
      <c r="B16" s="16" t="s">
        <v>333</v>
      </c>
      <c r="C16" s="16" t="s">
        <v>34</v>
      </c>
      <c r="D16" s="16" t="s">
        <v>334</v>
      </c>
      <c r="E16" s="16" t="s">
        <v>335</v>
      </c>
      <c r="F16" s="16" t="s">
        <v>336</v>
      </c>
      <c r="G16" s="16" t="s">
        <v>337</v>
      </c>
    </row>
    <row r="17" customFormat="false" ht="15" hidden="false" customHeight="false" outlineLevel="0" collapsed="false">
      <c r="A17" s="14" t="s">
        <v>73</v>
      </c>
      <c r="B17" s="15" t="n">
        <f aca="false">COUNTIF('Gap assessment'!$B$4:$B$61,$A17)</f>
        <v>14</v>
      </c>
      <c r="C17" s="15" t="n">
        <f aca="false">COUNTIFS('Gap assessment'!$B$4:$B$61,$A17,'Gap assessment'!$I$4:$I$61,"Y")</f>
        <v>14</v>
      </c>
      <c r="D17" s="15" t="n">
        <f aca="false">COUNTIFS('Gap assessment'!$B$4:$B$61,$A17,'Gap assessment'!$I$4:$I$61,"Y",'Gap assessment'!$K$4:$K$61,"&lt;&gt;")</f>
        <v>0</v>
      </c>
      <c r="E17" s="15" t="n">
        <f aca="false">COUNTIFS('Gap assessment'!$B$4:$B$61,$A17,'Gap assessment'!$I$4:$I$61,"Y",'Gap assessment'!$M$4:$M$61,"Y")</f>
        <v>0</v>
      </c>
      <c r="F17" s="15" t="n">
        <f aca="false">COUNTIFS('Gap assessment'!$B$4:$B$61,$A17,'Gap assessment'!$I$4:$I$61,"Y",'Gap assessment'!$M$4:$M$61,"Y",'Gap assessment'!$O$4:$O$61,"High")</f>
        <v>0</v>
      </c>
      <c r="G17" s="15" t="n">
        <f aca="false">COUNTIFS('Gap assessment'!$B$4:$B$61,$A17,'Gap assessment'!$M$4:$M$61,"Y",'Gap assessment'!$V$4:$V$61,"Closed")</f>
        <v>0</v>
      </c>
    </row>
    <row r="18" customFormat="false" ht="15" hidden="false" customHeight="false" outlineLevel="0" collapsed="false">
      <c r="A18" s="14" t="s">
        <v>133</v>
      </c>
      <c r="B18" s="15" t="n">
        <f aca="false">COUNTIF('Gap assessment'!$B$4:$B$61,$A18)</f>
        <v>12</v>
      </c>
      <c r="C18" s="15" t="n">
        <f aca="false">COUNTIFS('Gap assessment'!$B$4:$B$61,$A18,'Gap assessment'!$I$4:$I$61,"Y")</f>
        <v>12</v>
      </c>
      <c r="D18" s="15" t="n">
        <f aca="false">COUNTIFS('Gap assessment'!$B$4:$B$61,$A18,'Gap assessment'!$I$4:$I$61,"Y",'Gap assessment'!$K$4:$K$61,"&lt;&gt;")</f>
        <v>0</v>
      </c>
      <c r="E18" s="15" t="n">
        <f aca="false">COUNTIFS('Gap assessment'!$B$4:$B$61,$A18,'Gap assessment'!$I$4:$I$61,"Y",'Gap assessment'!$M$4:$M$61,"Y")</f>
        <v>0</v>
      </c>
      <c r="F18" s="15" t="n">
        <f aca="false">COUNTIFS('Gap assessment'!$B$4:$B$61,$A18,'Gap assessment'!$I$4:$I$61,"Y",'Gap assessment'!$M$4:$M$61,"Y",'Gap assessment'!$O$4:$O$61,"High")</f>
        <v>0</v>
      </c>
      <c r="G18" s="15" t="n">
        <f aca="false">COUNTIFS('Gap assessment'!$B$4:$B$61,$A18,'Gap assessment'!$M$4:$M$61,"Y",'Gap assessment'!$V$4:$V$61,"Closed")</f>
        <v>0</v>
      </c>
    </row>
    <row r="19" customFormat="false" ht="15" hidden="false" customHeight="false" outlineLevel="0" collapsed="false">
      <c r="A19" s="14" t="s">
        <v>181</v>
      </c>
      <c r="B19" s="15" t="n">
        <f aca="false">COUNTIF('Gap assessment'!$B$4:$B$61,$A19)</f>
        <v>11</v>
      </c>
      <c r="C19" s="15" t="n">
        <f aca="false">COUNTIFS('Gap assessment'!$B$4:$B$61,$A19,'Gap assessment'!$I$4:$I$61,"Y")</f>
        <v>11</v>
      </c>
      <c r="D19" s="15" t="n">
        <f aca="false">COUNTIFS('Gap assessment'!$B$4:$B$61,$A19,'Gap assessment'!$I$4:$I$61,"Y",'Gap assessment'!$K$4:$K$61,"&lt;&gt;")</f>
        <v>0</v>
      </c>
      <c r="E19" s="15" t="n">
        <f aca="false">COUNTIFS('Gap assessment'!$B$4:$B$61,$A19,'Gap assessment'!$I$4:$I$61,"Y",'Gap assessment'!$M$4:$M$61,"Y")</f>
        <v>0</v>
      </c>
      <c r="F19" s="15" t="n">
        <f aca="false">COUNTIFS('Gap assessment'!$B$4:$B$61,$A19,'Gap assessment'!$I$4:$I$61,"Y",'Gap assessment'!$M$4:$M$61,"Y",'Gap assessment'!$O$4:$O$61,"High")</f>
        <v>0</v>
      </c>
      <c r="G19" s="15" t="n">
        <f aca="false">COUNTIFS('Gap assessment'!$B$4:$B$61,$A19,'Gap assessment'!$M$4:$M$61,"Y",'Gap assessment'!$V$4:$V$61,"Closed")</f>
        <v>0</v>
      </c>
    </row>
    <row r="20" customFormat="false" ht="15" hidden="false" customHeight="false" outlineLevel="0" collapsed="false">
      <c r="A20" s="14" t="s">
        <v>228</v>
      </c>
      <c r="B20" s="15" t="n">
        <f aca="false">COUNTIF('Gap assessment'!$B$4:$B$61,$A20)</f>
        <v>10</v>
      </c>
      <c r="C20" s="15" t="n">
        <f aca="false">COUNTIFS('Gap assessment'!$B$4:$B$61,$A20,'Gap assessment'!$I$4:$I$61,"Y")</f>
        <v>10</v>
      </c>
      <c r="D20" s="15" t="n">
        <f aca="false">COUNTIFS('Gap assessment'!$B$4:$B$61,$A20,'Gap assessment'!$I$4:$I$61,"Y",'Gap assessment'!$K$4:$K$61,"&lt;&gt;")</f>
        <v>0</v>
      </c>
      <c r="E20" s="15" t="n">
        <f aca="false">COUNTIFS('Gap assessment'!$B$4:$B$61,$A20,'Gap assessment'!$I$4:$I$61,"Y",'Gap assessment'!$M$4:$M$61,"Y")</f>
        <v>0</v>
      </c>
      <c r="F20" s="15" t="n">
        <f aca="false">COUNTIFS('Gap assessment'!$B$4:$B$61,$A20,'Gap assessment'!$I$4:$I$61,"Y",'Gap assessment'!$M$4:$M$61,"Y",'Gap assessment'!$O$4:$O$61,"High")</f>
        <v>0</v>
      </c>
      <c r="G20" s="15" t="n">
        <f aca="false">COUNTIFS('Gap assessment'!$B$4:$B$61,$A20,'Gap assessment'!$M$4:$M$61,"Y",'Gap assessment'!$V$4:$V$61,"Closed")</f>
        <v>0</v>
      </c>
    </row>
    <row r="21" customFormat="false" ht="15" hidden="false" customHeight="false" outlineLevel="0" collapsed="false">
      <c r="A21" s="14" t="s">
        <v>270</v>
      </c>
      <c r="B21" s="15" t="n">
        <f aca="false">COUNTIF('Gap assessment'!$B$4:$B$61,$A21)</f>
        <v>3</v>
      </c>
      <c r="C21" s="15" t="n">
        <f aca="false">COUNTIFS('Gap assessment'!$B$4:$B$61,$A21,'Gap assessment'!$I$4:$I$61,"Y")</f>
        <v>3</v>
      </c>
      <c r="D21" s="15" t="n">
        <f aca="false">COUNTIFS('Gap assessment'!$B$4:$B$61,$A21,'Gap assessment'!$I$4:$I$61,"Y",'Gap assessment'!$K$4:$K$61,"&lt;&gt;")</f>
        <v>0</v>
      </c>
      <c r="E21" s="15" t="n">
        <f aca="false">COUNTIFS('Gap assessment'!$B$4:$B$61,$A21,'Gap assessment'!$I$4:$I$61,"Y",'Gap assessment'!$M$4:$M$61,"Y")</f>
        <v>0</v>
      </c>
      <c r="F21" s="15" t="n">
        <f aca="false">COUNTIFS('Gap assessment'!$B$4:$B$61,$A21,'Gap assessment'!$I$4:$I$61,"Y",'Gap assessment'!$M$4:$M$61,"Y",'Gap assessment'!$O$4:$O$61,"High")</f>
        <v>0</v>
      </c>
      <c r="G21" s="15" t="n">
        <f aca="false">COUNTIFS('Gap assessment'!$B$4:$B$61,$A21,'Gap assessment'!$M$4:$M$61,"Y",'Gap assessment'!$V$4:$V$61,"Closed")</f>
        <v>0</v>
      </c>
    </row>
    <row r="22" customFormat="false" ht="15" hidden="false" customHeight="false" outlineLevel="0" collapsed="false">
      <c r="A22" s="14" t="s">
        <v>283</v>
      </c>
      <c r="B22" s="15" t="n">
        <f aca="false">COUNTIF('Gap assessment'!$B$4:$B$61,$A22)</f>
        <v>4</v>
      </c>
      <c r="C22" s="15" t="n">
        <f aca="false">COUNTIFS('Gap assessment'!$B$4:$B$61,$A22,'Gap assessment'!$I$4:$I$61,"Y")</f>
        <v>4</v>
      </c>
      <c r="D22" s="15" t="n">
        <f aca="false">COUNTIFS('Gap assessment'!$B$4:$B$61,$A22,'Gap assessment'!$I$4:$I$61,"Y",'Gap assessment'!$K$4:$K$61,"&lt;&gt;")</f>
        <v>0</v>
      </c>
      <c r="E22" s="15" t="n">
        <f aca="false">COUNTIFS('Gap assessment'!$B$4:$B$61,$A22,'Gap assessment'!$I$4:$I$61,"Y",'Gap assessment'!$M$4:$M$61,"Y")</f>
        <v>0</v>
      </c>
      <c r="F22" s="15" t="n">
        <f aca="false">COUNTIFS('Gap assessment'!$B$4:$B$61,$A22,'Gap assessment'!$I$4:$I$61,"Y",'Gap assessment'!$M$4:$M$61,"Y",'Gap assessment'!$O$4:$O$61,"High")</f>
        <v>0</v>
      </c>
      <c r="G22" s="15" t="n">
        <f aca="false">COUNTIFS('Gap assessment'!$B$4:$B$61,$A22,'Gap assessment'!$M$4:$M$61,"Y",'Gap assessment'!$V$4:$V$61,"Closed")</f>
        <v>0</v>
      </c>
    </row>
    <row r="23" customFormat="false" ht="15" hidden="false" customHeight="false" outlineLevel="0" collapsed="false">
      <c r="A23" s="14" t="s">
        <v>298</v>
      </c>
      <c r="B23" s="15" t="n">
        <f aca="false">COUNTIF('Gap assessment'!$B$4:$B$61,$A23)</f>
        <v>4</v>
      </c>
      <c r="C23" s="15" t="n">
        <f aca="false">COUNTIFS('Gap assessment'!$B$4:$B$61,$A23,'Gap assessment'!$I$4:$I$61,"Y")</f>
        <v>4</v>
      </c>
      <c r="D23" s="15" t="n">
        <f aca="false">COUNTIFS('Gap assessment'!$B$4:$B$61,$A23,'Gap assessment'!$I$4:$I$61,"Y",'Gap assessment'!$K$4:$K$61,"&lt;&gt;")</f>
        <v>0</v>
      </c>
      <c r="E23" s="15" t="n">
        <f aca="false">COUNTIFS('Gap assessment'!$B$4:$B$61,$A23,'Gap assessment'!$I$4:$I$61,"Y",'Gap assessment'!$M$4:$M$61,"Y")</f>
        <v>0</v>
      </c>
      <c r="F23" s="15" t="n">
        <f aca="false">COUNTIFS('Gap assessment'!$B$4:$B$61,$A23,'Gap assessment'!$I$4:$I$61,"Y",'Gap assessment'!$M$4:$M$61,"Y",'Gap assessment'!$O$4:$O$61,"High")</f>
        <v>0</v>
      </c>
      <c r="G23" s="15" t="n">
        <f aca="false">COUNTIFS('Gap assessment'!$B$4:$B$61,$A23,'Gap assessment'!$M$4:$M$61,"Y",'Gap assessment'!$V$4:$V$61,"Closed")</f>
        <v>0</v>
      </c>
    </row>
    <row r="24" customFormat="false" ht="15" hidden="false" customHeight="false" outlineLevel="0" collapsed="false">
      <c r="A24" s="17" t="s">
        <v>338</v>
      </c>
      <c r="B24" s="18" t="n">
        <f aca="false">SUM(B17:B23)</f>
        <v>58</v>
      </c>
      <c r="C24" s="18" t="n">
        <f aca="false">SUM(C17:C23)</f>
        <v>58</v>
      </c>
      <c r="D24" s="18" t="n">
        <f aca="false">SUM(D17:D23)</f>
        <v>0</v>
      </c>
      <c r="E24" s="18" t="n">
        <f aca="false">SUM(E17:E23)</f>
        <v>0</v>
      </c>
      <c r="F24" s="18" t="n">
        <f aca="false">SUM(F17:F23)</f>
        <v>0</v>
      </c>
      <c r="G24" s="18" t="n">
        <f aca="false">SUM(G17:G23)</f>
        <v>0</v>
      </c>
    </row>
    <row r="27" customFormat="false" ht="15" hidden="false" customHeight="false" outlineLevel="0" collapsed="false">
      <c r="A27" s="13" t="s">
        <v>339</v>
      </c>
      <c r="B27" s="13" t="s">
        <v>322</v>
      </c>
    </row>
    <row r="28" customFormat="false" ht="15" hidden="false" customHeight="false" outlineLevel="0" collapsed="false">
      <c r="A28" s="14" t="s">
        <v>340</v>
      </c>
      <c r="B28" s="15" t="n">
        <f aca="false">COUNTIFS('Gap assessment'!$I$4:$I$61,"Y",'Gap assessment'!$V$4:$V$61,$A28)</f>
        <v>0</v>
      </c>
    </row>
    <row r="29" customFormat="false" ht="15" hidden="false" customHeight="false" outlineLevel="0" collapsed="false">
      <c r="A29" s="14" t="s">
        <v>54</v>
      </c>
      <c r="B29" s="15" t="n">
        <f aca="false">COUNTIFS('Gap assessment'!$I$4:$I$61,"Y",'Gap assessment'!$V$4:$V$61,$A29)</f>
        <v>0</v>
      </c>
    </row>
    <row r="30" customFormat="false" ht="15" hidden="false" customHeight="false" outlineLevel="0" collapsed="false">
      <c r="A30" s="14" t="s">
        <v>337</v>
      </c>
      <c r="B30" s="15" t="n">
        <f aca="false">COUNTIFS('Gap assessment'!$I$4:$I$61,"Y",'Gap assessment'!$V$4:$V$61,$A30)</f>
        <v>0</v>
      </c>
    </row>
    <row r="31" customFormat="false" ht="15" hidden="false" customHeight="false" outlineLevel="0" collapsed="false">
      <c r="A31" s="14" t="s">
        <v>341</v>
      </c>
      <c r="B31" s="15" t="n">
        <f aca="false">COUNTIFS('Gap assessment'!$I$4:$I$61,"Y",'Gap assessment'!$V$4:$V$61,$A31)</f>
        <v>0</v>
      </c>
    </row>
    <row r="32" customFormat="false" ht="15" hidden="false" customHeight="false" outlineLevel="0" collapsed="false">
      <c r="A32" s="14" t="s">
        <v>342</v>
      </c>
      <c r="B32" s="15" t="n">
        <f aca="false">COUNTIFS('Gap assessment'!$I$4:$I$61,"Y",'Gap assessment'!$V$4:$V$61,"")</f>
        <v>58</v>
      </c>
    </row>
    <row r="34" customFormat="false" ht="15" hidden="false" customHeight="false" outlineLevel="0" collapsed="false">
      <c r="A34" s="19" t="s">
        <v>343</v>
      </c>
      <c r="B34" s="19" t="s">
        <v>344</v>
      </c>
    </row>
    <row r="35" customFormat="false" ht="23.85" hidden="false" customHeight="false" outlineLevel="0" collapsed="false">
      <c r="A35" s="14" t="s">
        <v>345</v>
      </c>
      <c r="B35" s="14" t="str">
        <f aca="false">IF(B8=0,"Yes","No - " &amp; B8 &amp; " left to sample")</f>
        <v>No - 58 left to sample</v>
      </c>
    </row>
    <row r="36" customFormat="false" ht="15" hidden="false" customHeight="false" outlineLevel="0" collapsed="false">
      <c r="A36" s="14" t="s">
        <v>346</v>
      </c>
      <c r="B36" s="14" t="str">
        <f aca="false">IF(B11=0,"Yes","No - " &amp; B11 &amp; " open")</f>
        <v>Yes</v>
      </c>
    </row>
    <row r="37" customFormat="false" ht="15" hidden="false" customHeight="false" outlineLevel="0" collapsed="false">
      <c r="A37" s="14" t="s">
        <v>347</v>
      </c>
      <c r="B37" s="14" t="str">
        <f aca="false">IF(B12=0,"Yes","No - " &amp; B12 &amp; " unassigned")</f>
        <v>Yes</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QMSR Gap Assessment Workbook  -  Elder Consulting, LLC  -  &amp;A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3" min="3" style="0" width="60"/>
  </cols>
  <sheetData>
    <row r="1" customFormat="false" ht="16.15" hidden="false" customHeight="false" outlineLevel="0" collapsed="false">
      <c r="A1" s="8" t="s">
        <v>348</v>
      </c>
    </row>
    <row r="2" customFormat="false" ht="63.75" hidden="false" customHeight="true" outlineLevel="0" collapsed="false">
      <c r="A2" s="20" t="s">
        <v>349</v>
      </c>
      <c r="B2" s="20"/>
      <c r="C2" s="20"/>
    </row>
    <row r="4" customFormat="false" ht="19.5" hidden="false" customHeight="true" outlineLevel="0" collapsed="false">
      <c r="A4" s="9" t="s">
        <v>58</v>
      </c>
      <c r="B4" s="9" t="s">
        <v>32</v>
      </c>
      <c r="C4" s="9" t="s">
        <v>350</v>
      </c>
    </row>
    <row r="5" customFormat="false" ht="15" hidden="false" customHeight="false" outlineLevel="0" collapsed="false">
      <c r="A5" s="21" t="s">
        <v>351</v>
      </c>
      <c r="B5" s="22"/>
      <c r="C5" s="22"/>
    </row>
    <row r="6" customFormat="false" ht="15" hidden="false" customHeight="false" outlineLevel="0" collapsed="false">
      <c r="A6" s="23" t="s">
        <v>73</v>
      </c>
      <c r="B6" s="23" t="s">
        <v>92</v>
      </c>
      <c r="C6" s="23"/>
    </row>
    <row r="7" customFormat="false" ht="15" hidden="false" customHeight="false" outlineLevel="0" collapsed="false">
      <c r="A7" s="24" t="s">
        <v>73</v>
      </c>
      <c r="B7" s="24" t="s">
        <v>117</v>
      </c>
      <c r="C7" s="24"/>
    </row>
    <row r="8" customFormat="false" ht="15" hidden="false" customHeight="false" outlineLevel="0" collapsed="false">
      <c r="A8" s="23" t="s">
        <v>73</v>
      </c>
      <c r="B8" s="23" t="s">
        <v>129</v>
      </c>
      <c r="C8" s="23"/>
    </row>
    <row r="9" customFormat="false" ht="15" hidden="false" customHeight="false" outlineLevel="0" collapsed="false">
      <c r="A9" s="24" t="s">
        <v>133</v>
      </c>
      <c r="B9" s="24" t="s">
        <v>148</v>
      </c>
      <c r="C9" s="24"/>
    </row>
    <row r="10" customFormat="false" ht="15" hidden="false" customHeight="false" outlineLevel="0" collapsed="false">
      <c r="A10" s="23" t="s">
        <v>133</v>
      </c>
      <c r="B10" s="23" t="s">
        <v>151</v>
      </c>
      <c r="C10" s="23"/>
    </row>
    <row r="11" customFormat="false" ht="15" hidden="false" customHeight="false" outlineLevel="0" collapsed="false">
      <c r="A11" s="24" t="s">
        <v>133</v>
      </c>
      <c r="B11" s="24" t="s">
        <v>155</v>
      </c>
      <c r="C11" s="24"/>
    </row>
    <row r="12" customFormat="false" ht="15" hidden="false" customHeight="false" outlineLevel="0" collapsed="false">
      <c r="A12" s="23" t="s">
        <v>133</v>
      </c>
      <c r="B12" s="23" t="s">
        <v>159</v>
      </c>
      <c r="C12" s="23"/>
    </row>
    <row r="13" customFormat="false" ht="15" hidden="false" customHeight="false" outlineLevel="0" collapsed="false">
      <c r="A13" s="24" t="s">
        <v>133</v>
      </c>
      <c r="B13" s="24" t="s">
        <v>163</v>
      </c>
      <c r="C13" s="24"/>
    </row>
    <row r="14" customFormat="false" ht="15" hidden="false" customHeight="false" outlineLevel="0" collapsed="false">
      <c r="A14" s="23" t="s">
        <v>133</v>
      </c>
      <c r="B14" s="23" t="s">
        <v>167</v>
      </c>
      <c r="C14" s="23"/>
    </row>
    <row r="15" customFormat="false" ht="15" hidden="false" customHeight="false" outlineLevel="0" collapsed="false">
      <c r="A15" s="24" t="s">
        <v>133</v>
      </c>
      <c r="B15" s="24" t="s">
        <v>169</v>
      </c>
      <c r="C15" s="24"/>
    </row>
    <row r="16" customFormat="false" ht="15" hidden="false" customHeight="false" outlineLevel="0" collapsed="false">
      <c r="A16" s="23" t="s">
        <v>181</v>
      </c>
      <c r="B16" s="23" t="s">
        <v>190</v>
      </c>
      <c r="C16" s="23"/>
    </row>
    <row r="17" customFormat="false" ht="22.35" hidden="false" customHeight="false" outlineLevel="0" collapsed="false">
      <c r="A17" s="24" t="s">
        <v>181</v>
      </c>
      <c r="B17" s="24" t="s">
        <v>203</v>
      </c>
      <c r="C17" s="24"/>
    </row>
    <row r="18" customFormat="false" ht="22.35" hidden="false" customHeight="false" outlineLevel="0" collapsed="false">
      <c r="A18" s="23" t="s">
        <v>181</v>
      </c>
      <c r="B18" s="23" t="s">
        <v>207</v>
      </c>
      <c r="C18" s="23" t="s">
        <v>352</v>
      </c>
    </row>
    <row r="19" customFormat="false" ht="15" hidden="false" customHeight="false" outlineLevel="0" collapsed="false">
      <c r="A19" s="24" t="s">
        <v>181</v>
      </c>
      <c r="B19" s="24" t="s">
        <v>212</v>
      </c>
      <c r="C19" s="24"/>
    </row>
    <row r="20" customFormat="false" ht="15" hidden="false" customHeight="false" outlineLevel="0" collapsed="false">
      <c r="A20" s="23" t="s">
        <v>228</v>
      </c>
      <c r="B20" s="23" t="s">
        <v>233</v>
      </c>
      <c r="C20" s="23"/>
    </row>
    <row r="21" customFormat="false" ht="15" hidden="false" customHeight="false" outlineLevel="0" collapsed="false">
      <c r="A21" s="24" t="s">
        <v>228</v>
      </c>
      <c r="B21" s="24" t="s">
        <v>237</v>
      </c>
      <c r="C21" s="24"/>
    </row>
    <row r="22" customFormat="false" ht="15" hidden="false" customHeight="false" outlineLevel="0" collapsed="false">
      <c r="A22" s="23" t="s">
        <v>228</v>
      </c>
      <c r="B22" s="23" t="s">
        <v>242</v>
      </c>
      <c r="C22" s="23"/>
    </row>
    <row r="23" customFormat="false" ht="15" hidden="false" customHeight="false" outlineLevel="0" collapsed="false">
      <c r="A23" s="24" t="s">
        <v>228</v>
      </c>
      <c r="B23" s="24" t="s">
        <v>254</v>
      </c>
      <c r="C23" s="24"/>
    </row>
    <row r="24" customFormat="false" ht="15" hidden="false" customHeight="false" outlineLevel="0" collapsed="false">
      <c r="A24" s="23" t="s">
        <v>228</v>
      </c>
      <c r="B24" s="23" t="s">
        <v>259</v>
      </c>
      <c r="C24" s="23"/>
    </row>
    <row r="25" customFormat="false" ht="15" hidden="false" customHeight="false" outlineLevel="0" collapsed="false">
      <c r="A25" s="24" t="s">
        <v>228</v>
      </c>
      <c r="B25" s="24" t="s">
        <v>263</v>
      </c>
      <c r="C25" s="24"/>
    </row>
    <row r="26" customFormat="false" ht="15" hidden="false" customHeight="false" outlineLevel="0" collapsed="false">
      <c r="A26" s="23" t="s">
        <v>228</v>
      </c>
      <c r="B26" s="23" t="s">
        <v>267</v>
      </c>
      <c r="C26" s="23"/>
    </row>
    <row r="27" customFormat="false" ht="15" hidden="false" customHeight="false" outlineLevel="0" collapsed="false">
      <c r="A27" s="24" t="s">
        <v>270</v>
      </c>
      <c r="B27" s="24" t="s">
        <v>271</v>
      </c>
      <c r="C27" s="24"/>
    </row>
    <row r="28" customFormat="false" ht="15" hidden="false" customHeight="false" outlineLevel="0" collapsed="false">
      <c r="A28" s="23" t="s">
        <v>283</v>
      </c>
      <c r="B28" s="23" t="s">
        <v>291</v>
      </c>
      <c r="C28" s="23"/>
    </row>
    <row r="29" customFormat="false" ht="15" hidden="false" customHeight="false" outlineLevel="0" collapsed="false">
      <c r="A29" s="25" t="s">
        <v>322</v>
      </c>
      <c r="B29" s="25" t="n">
        <f aca="false">COUNTA(B6:B28)</f>
        <v>23</v>
      </c>
    </row>
    <row r="31" customFormat="false" ht="15" hidden="false" customHeight="false" outlineLevel="0" collapsed="false">
      <c r="A31" s="21" t="s">
        <v>353</v>
      </c>
      <c r="B31" s="22"/>
      <c r="C31" s="22"/>
    </row>
    <row r="32" customFormat="false" ht="15" hidden="false" customHeight="false" outlineLevel="0" collapsed="false">
      <c r="A32" s="23" t="s">
        <v>298</v>
      </c>
      <c r="B32" s="23" t="s">
        <v>299</v>
      </c>
      <c r="C32" s="23" t="s">
        <v>354</v>
      </c>
    </row>
    <row r="33" customFormat="false" ht="15" hidden="false" customHeight="false" outlineLevel="0" collapsed="false">
      <c r="A33" s="24" t="s">
        <v>298</v>
      </c>
      <c r="B33" s="24" t="s">
        <v>305</v>
      </c>
      <c r="C33" s="24" t="s">
        <v>354</v>
      </c>
    </row>
    <row r="34" customFormat="false" ht="22.35" hidden="false" customHeight="false" outlineLevel="0" collapsed="false">
      <c r="A34" s="23" t="s">
        <v>298</v>
      </c>
      <c r="B34" s="23" t="s">
        <v>309</v>
      </c>
      <c r="C34" s="23" t="s">
        <v>355</v>
      </c>
    </row>
    <row r="35" customFormat="false" ht="15" hidden="false" customHeight="false" outlineLevel="0" collapsed="false">
      <c r="A35" s="24" t="s">
        <v>298</v>
      </c>
      <c r="B35" s="24" t="s">
        <v>315</v>
      </c>
      <c r="C35" s="24" t="s">
        <v>354</v>
      </c>
    </row>
    <row r="36" customFormat="false" ht="15" hidden="false" customHeight="false" outlineLevel="0" collapsed="false">
      <c r="A36" s="25" t="s">
        <v>322</v>
      </c>
      <c r="B36" s="25" t="n">
        <f aca="false">COUNTA(B32:B35)</f>
        <v>4</v>
      </c>
    </row>
    <row r="38" customFormat="false" ht="42" hidden="false" customHeight="true" outlineLevel="0" collapsed="false">
      <c r="A38" s="3" t="s">
        <v>356</v>
      </c>
      <c r="B38" s="26" t="s">
        <v>357</v>
      </c>
    </row>
  </sheetData>
  <mergeCells count="1">
    <mergeCell ref="A2:C2"/>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QMSR Gap Assessment Workbook  -  Elder Consulting, LLC  -  &amp;A  -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2"/>
    <col collapsed="false" customWidth="true" hidden="false" outlineLevel="0" max="3" min="3" style="0" width="14"/>
    <col collapsed="false" customWidth="true" hidden="false" outlineLevel="0" max="4" min="4" style="0" width="40"/>
    <col collapsed="false" customWidth="true" hidden="false" outlineLevel="0" max="5" min="5" style="0" width="14"/>
  </cols>
  <sheetData>
    <row r="1" customFormat="false" ht="16.15" hidden="false" customHeight="false" outlineLevel="0" collapsed="false">
      <c r="A1" s="8" t="s">
        <v>358</v>
      </c>
    </row>
    <row r="2" customFormat="false" ht="15" hidden="false" customHeight="false" outlineLevel="0" collapsed="false">
      <c r="A2" s="2" t="s">
        <v>359</v>
      </c>
    </row>
    <row r="4" customFormat="false" ht="19.5" hidden="false" customHeight="true" outlineLevel="0" collapsed="false">
      <c r="A4" s="9" t="s">
        <v>360</v>
      </c>
      <c r="B4" s="9" t="s">
        <v>361</v>
      </c>
      <c r="C4" s="9" t="s">
        <v>362</v>
      </c>
      <c r="D4" s="9" t="s">
        <v>363</v>
      </c>
      <c r="E4" s="9" t="s">
        <v>47</v>
      </c>
    </row>
    <row r="5" customFormat="false" ht="32.8" hidden="false" customHeight="false" outlineLevel="0" collapsed="false">
      <c r="A5" s="27" t="s">
        <v>364</v>
      </c>
      <c r="B5" s="10" t="s">
        <v>365</v>
      </c>
      <c r="C5" s="7"/>
      <c r="D5" s="7"/>
      <c r="E5" s="7"/>
    </row>
    <row r="6" customFormat="false" ht="22.35" hidden="false" customHeight="false" outlineLevel="0" collapsed="false">
      <c r="A6" s="28" t="s">
        <v>364</v>
      </c>
      <c r="B6" s="12" t="s">
        <v>366</v>
      </c>
      <c r="C6" s="7"/>
      <c r="D6" s="7"/>
      <c r="E6" s="7"/>
    </row>
    <row r="7" customFormat="false" ht="15" hidden="false" customHeight="false" outlineLevel="0" collapsed="false">
      <c r="A7" s="27" t="s">
        <v>367</v>
      </c>
      <c r="B7" s="10" t="s">
        <v>368</v>
      </c>
      <c r="C7" s="7"/>
      <c r="D7" s="7"/>
      <c r="E7" s="7"/>
    </row>
    <row r="8" customFormat="false" ht="15" hidden="false" customHeight="false" outlineLevel="0" collapsed="false">
      <c r="A8" s="28" t="s">
        <v>369</v>
      </c>
      <c r="B8" s="12" t="s">
        <v>370</v>
      </c>
      <c r="C8" s="7"/>
      <c r="D8" s="7"/>
      <c r="E8" s="7"/>
    </row>
    <row r="9" customFormat="false" ht="15" hidden="false" customHeight="false" outlineLevel="0" collapsed="false">
      <c r="A9" s="27" t="s">
        <v>371</v>
      </c>
      <c r="B9" s="10" t="s">
        <v>372</v>
      </c>
      <c r="C9" s="7"/>
      <c r="D9" s="7"/>
      <c r="E9" s="7"/>
    </row>
    <row r="10" customFormat="false" ht="15" hidden="false" customHeight="false" outlineLevel="0" collapsed="false">
      <c r="A10" s="28" t="s">
        <v>373</v>
      </c>
      <c r="B10" s="12" t="s">
        <v>374</v>
      </c>
      <c r="C10" s="7"/>
      <c r="D10" s="7"/>
      <c r="E10" s="7"/>
    </row>
    <row r="11" customFormat="false" ht="15" hidden="false" customHeight="false" outlineLevel="0" collapsed="false">
      <c r="A11" s="27" t="s">
        <v>375</v>
      </c>
      <c r="B11" s="10" t="s">
        <v>376</v>
      </c>
      <c r="C11" s="7"/>
      <c r="D11" s="7"/>
      <c r="E11" s="7"/>
    </row>
    <row r="12" customFormat="false" ht="15" hidden="false" customHeight="false" outlineLevel="0" collapsed="false">
      <c r="A12" s="28" t="s">
        <v>377</v>
      </c>
      <c r="B12" s="12" t="s">
        <v>378</v>
      </c>
      <c r="C12" s="7"/>
      <c r="D12" s="7"/>
      <c r="E12" s="7"/>
    </row>
    <row r="13" customFormat="false" ht="15" hidden="false" customHeight="false" outlineLevel="0" collapsed="false">
      <c r="A13" s="27" t="s">
        <v>379</v>
      </c>
      <c r="B13" s="10" t="s">
        <v>380</v>
      </c>
      <c r="C13" s="7"/>
      <c r="D13" s="7"/>
      <c r="E13" s="7"/>
    </row>
    <row r="14" customFormat="false" ht="22.35" hidden="false" customHeight="false" outlineLevel="0" collapsed="false">
      <c r="A14" s="28" t="s">
        <v>381</v>
      </c>
      <c r="B14" s="12" t="s">
        <v>382</v>
      </c>
      <c r="C14" s="7"/>
      <c r="D14" s="7"/>
      <c r="E14" s="7"/>
    </row>
    <row r="15" customFormat="false" ht="15" hidden="false" customHeight="false" outlineLevel="0" collapsed="false">
      <c r="A15" s="27" t="s">
        <v>383</v>
      </c>
      <c r="B15" s="10" t="s">
        <v>384</v>
      </c>
      <c r="C15" s="7"/>
      <c r="D15" s="7"/>
      <c r="E15" s="7"/>
    </row>
    <row r="16" customFormat="false" ht="15" hidden="false" customHeight="false" outlineLevel="0" collapsed="false">
      <c r="A16" s="28" t="s">
        <v>385</v>
      </c>
      <c r="B16" s="12" t="s">
        <v>386</v>
      </c>
      <c r="C16" s="7"/>
      <c r="D16" s="7"/>
      <c r="E16" s="7"/>
    </row>
    <row r="17" customFormat="false" ht="15" hidden="false" customHeight="false" outlineLevel="0" collapsed="false">
      <c r="A17" s="27" t="s">
        <v>387</v>
      </c>
      <c r="B17" s="10" t="s">
        <v>388</v>
      </c>
      <c r="C17" s="7"/>
      <c r="D17" s="7"/>
      <c r="E17" s="7"/>
    </row>
    <row r="18" customFormat="false" ht="15" hidden="false" customHeight="false" outlineLevel="0" collapsed="false">
      <c r="A18" s="28" t="s">
        <v>389</v>
      </c>
      <c r="B18" s="12" t="s">
        <v>390</v>
      </c>
      <c r="C18" s="7"/>
      <c r="D18" s="7"/>
      <c r="E18" s="7"/>
    </row>
    <row r="19" customFormat="false" ht="15" hidden="false" customHeight="false" outlineLevel="0" collapsed="false">
      <c r="A19" s="27" t="s">
        <v>391</v>
      </c>
      <c r="B19" s="10" t="s">
        <v>392</v>
      </c>
      <c r="C19" s="7"/>
      <c r="D19" s="7"/>
      <c r="E19" s="7"/>
    </row>
    <row r="20" customFormat="false" ht="22.35" hidden="false" customHeight="false" outlineLevel="0" collapsed="false">
      <c r="A20" s="28" t="s">
        <v>393</v>
      </c>
      <c r="B20" s="12" t="s">
        <v>394</v>
      </c>
      <c r="C20" s="7"/>
      <c r="D20" s="7"/>
      <c r="E20" s="7"/>
    </row>
    <row r="21" customFormat="false" ht="22.35" hidden="false" customHeight="false" outlineLevel="0" collapsed="false">
      <c r="A21" s="27" t="s">
        <v>395</v>
      </c>
      <c r="B21" s="10" t="s">
        <v>396</v>
      </c>
      <c r="C21" s="7"/>
      <c r="D21" s="7"/>
      <c r="E21" s="7"/>
    </row>
    <row r="22" customFormat="false" ht="15" hidden="false" customHeight="false" outlineLevel="0" collapsed="false">
      <c r="A22" s="28" t="s">
        <v>397</v>
      </c>
      <c r="B22" s="12" t="s">
        <v>398</v>
      </c>
      <c r="C22" s="7"/>
      <c r="D22" s="7"/>
      <c r="E22" s="7"/>
    </row>
    <row r="23" customFormat="false" ht="22.35" hidden="false" customHeight="false" outlineLevel="0" collapsed="false">
      <c r="A23" s="27" t="s">
        <v>399</v>
      </c>
      <c r="B23" s="10" t="s">
        <v>400</v>
      </c>
      <c r="C23" s="7"/>
      <c r="D23" s="7"/>
      <c r="E23" s="7"/>
    </row>
    <row r="24" customFormat="false" ht="22.35" hidden="false" customHeight="false" outlineLevel="0" collapsed="false">
      <c r="A24" s="28" t="s">
        <v>401</v>
      </c>
      <c r="B24" s="12" t="s">
        <v>402</v>
      </c>
      <c r="C24" s="7"/>
      <c r="D24" s="7"/>
      <c r="E24" s="7"/>
    </row>
    <row r="25" customFormat="false" ht="22.35" hidden="false" customHeight="false" outlineLevel="0" collapsed="false">
      <c r="A25" s="27" t="s">
        <v>403</v>
      </c>
      <c r="B25" s="10" t="s">
        <v>404</v>
      </c>
      <c r="C25" s="7"/>
      <c r="D25" s="7"/>
      <c r="E25" s="7"/>
    </row>
    <row r="26" customFormat="false" ht="15" hidden="false" customHeight="false" outlineLevel="0" collapsed="false">
      <c r="A26" s="28" t="s">
        <v>405</v>
      </c>
      <c r="B26" s="12" t="s">
        <v>406</v>
      </c>
      <c r="C26" s="7"/>
      <c r="D26" s="7"/>
      <c r="E26" s="7"/>
    </row>
    <row r="27" customFormat="false" ht="15" hidden="false" customHeight="false" outlineLevel="0" collapsed="false">
      <c r="A27" s="27" t="s">
        <v>407</v>
      </c>
      <c r="B27" s="10" t="s">
        <v>408</v>
      </c>
      <c r="C27" s="7"/>
      <c r="D27" s="7"/>
      <c r="E27" s="7"/>
    </row>
    <row r="28" customFormat="false" ht="15" hidden="false" customHeight="false" outlineLevel="0" collapsed="false">
      <c r="A28" s="28" t="s">
        <v>409</v>
      </c>
      <c r="B28" s="12" t="s">
        <v>410</v>
      </c>
      <c r="C28" s="7"/>
      <c r="D28" s="7"/>
      <c r="E28" s="7"/>
    </row>
    <row r="29" customFormat="false" ht="15" hidden="false" customHeight="false" outlineLevel="0" collapsed="false">
      <c r="A29" s="27" t="s">
        <v>411</v>
      </c>
      <c r="B29" s="10" t="s">
        <v>412</v>
      </c>
      <c r="C29" s="7"/>
      <c r="D29" s="7"/>
      <c r="E29" s="7"/>
    </row>
    <row r="30" customFormat="false" ht="15" hidden="false" customHeight="false" outlineLevel="0" collapsed="false">
      <c r="A30" s="28" t="s">
        <v>413</v>
      </c>
      <c r="B30" s="12" t="s">
        <v>414</v>
      </c>
      <c r="C30" s="7"/>
      <c r="D30" s="7"/>
      <c r="E30" s="7"/>
    </row>
    <row r="31" customFormat="false" ht="22.35" hidden="false" customHeight="false" outlineLevel="0" collapsed="false">
      <c r="A31" s="27" t="s">
        <v>415</v>
      </c>
      <c r="B31" s="10" t="s">
        <v>416</v>
      </c>
      <c r="C31" s="7"/>
      <c r="D31" s="7"/>
      <c r="E31" s="7"/>
    </row>
    <row r="32" customFormat="false" ht="22.35" hidden="false" customHeight="false" outlineLevel="0" collapsed="false">
      <c r="A32" s="28" t="s">
        <v>415</v>
      </c>
      <c r="B32" s="12" t="s">
        <v>417</v>
      </c>
      <c r="C32" s="7"/>
      <c r="D32" s="7"/>
      <c r="E32" s="7"/>
    </row>
    <row r="34" customFormat="false" ht="15" hidden="false" customHeight="false" outlineLevel="0" collapsed="false">
      <c r="B34" s="29" t="s">
        <v>418</v>
      </c>
      <c r="C34" s="29" t="n">
        <f aca="false">COUNTIF(C5:C32,"Y")</f>
        <v>0</v>
      </c>
    </row>
    <row r="35" customFormat="false" ht="15" hidden="false" customHeight="false" outlineLevel="0" collapsed="false">
      <c r="B35" s="29" t="s">
        <v>419</v>
      </c>
      <c r="C35" s="29" t="n">
        <f aca="false">COUNTIF(C5:C32,"N")</f>
        <v>0</v>
      </c>
    </row>
    <row r="36" customFormat="false" ht="15" hidden="false" customHeight="false" outlineLevel="0" collapsed="false">
      <c r="B36" s="29" t="s">
        <v>420</v>
      </c>
      <c r="C36" s="29" t="n">
        <f aca="false">28-COUNTIF(C5:C32,"Y")-COUNTIF(C5:C32,"N")-COUNTIF(C5:C32,"NA")</f>
        <v>28</v>
      </c>
    </row>
  </sheetData>
  <dataValidations count="1">
    <dataValidation allowBlank="true" errorStyle="stop" operator="between" showDropDown="false" showErrorMessage="false" showInputMessage="false" sqref="C5:C32" type="list">
      <formula1>"Y,N,NA"</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QMSR Gap Assessment Workbook  -  Elder Consulting, LLC  -  &amp;A  -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6"/>
    <col collapsed="false" customWidth="true" hidden="false" outlineLevel="0" max="3" min="3" style="0" width="28"/>
    <col collapsed="false" customWidth="true" hidden="false" outlineLevel="0" max="4" min="4" style="0" width="76"/>
  </cols>
  <sheetData>
    <row r="1" customFormat="false" ht="16.15" hidden="false" customHeight="false" outlineLevel="0" collapsed="false">
      <c r="A1" s="8" t="s">
        <v>421</v>
      </c>
    </row>
    <row r="2" customFormat="false" ht="15" hidden="false" customHeight="false" outlineLevel="0" collapsed="false">
      <c r="A2" s="2" t="s">
        <v>422</v>
      </c>
    </row>
    <row r="4" customFormat="false" ht="19.5" hidden="false" customHeight="true" outlineLevel="0" collapsed="false">
      <c r="A4" s="9" t="s">
        <v>423</v>
      </c>
      <c r="B4" s="9" t="s">
        <v>60</v>
      </c>
      <c r="C4" s="9" t="s">
        <v>424</v>
      </c>
      <c r="D4" s="9" t="s">
        <v>425</v>
      </c>
    </row>
    <row r="5" customFormat="false" ht="22.35" hidden="false" customHeight="false" outlineLevel="0" collapsed="false">
      <c r="A5" s="30" t="s">
        <v>426</v>
      </c>
      <c r="B5" s="23" t="s">
        <v>427</v>
      </c>
      <c r="C5" s="23" t="s">
        <v>428</v>
      </c>
      <c r="D5" s="23" t="s">
        <v>429</v>
      </c>
    </row>
    <row r="6" customFormat="false" ht="22.35" hidden="false" customHeight="false" outlineLevel="0" collapsed="false">
      <c r="A6" s="31" t="s">
        <v>430</v>
      </c>
      <c r="B6" s="24" t="s">
        <v>431</v>
      </c>
      <c r="C6" s="24" t="s">
        <v>432</v>
      </c>
      <c r="D6" s="24" t="s">
        <v>433</v>
      </c>
    </row>
    <row r="7" customFormat="false" ht="22.35" hidden="false" customHeight="false" outlineLevel="0" collapsed="false">
      <c r="A7" s="30" t="s">
        <v>434</v>
      </c>
      <c r="B7" s="23" t="s">
        <v>243</v>
      </c>
      <c r="C7" s="23" t="s">
        <v>432</v>
      </c>
      <c r="D7" s="23" t="s">
        <v>435</v>
      </c>
    </row>
    <row r="8" customFormat="false" ht="15" hidden="false" customHeight="false" outlineLevel="0" collapsed="false">
      <c r="A8" s="31" t="s">
        <v>436</v>
      </c>
      <c r="B8" s="24" t="s">
        <v>126</v>
      </c>
      <c r="C8" s="24" t="s">
        <v>432</v>
      </c>
      <c r="D8" s="24" t="s">
        <v>437</v>
      </c>
    </row>
    <row r="9" customFormat="false" ht="22.35" hidden="false" customHeight="false" outlineLevel="0" collapsed="false">
      <c r="A9" s="30" t="s">
        <v>438</v>
      </c>
      <c r="B9" s="23" t="s">
        <v>439</v>
      </c>
      <c r="C9" s="23" t="s">
        <v>440</v>
      </c>
      <c r="D9" s="23" t="s">
        <v>441</v>
      </c>
    </row>
    <row r="10" customFormat="false" ht="22.35" hidden="false" customHeight="false" outlineLevel="0" collapsed="false">
      <c r="A10" s="31" t="s">
        <v>442</v>
      </c>
      <c r="B10" s="24" t="s">
        <v>443</v>
      </c>
      <c r="C10" s="24" t="s">
        <v>444</v>
      </c>
      <c r="D10" s="24" t="s">
        <v>445</v>
      </c>
    </row>
    <row r="11" customFormat="false" ht="22.35" hidden="false" customHeight="false" outlineLevel="0" collapsed="false">
      <c r="A11" s="30" t="s">
        <v>446</v>
      </c>
      <c r="B11" s="23" t="s">
        <v>447</v>
      </c>
      <c r="C11" s="23" t="s">
        <v>432</v>
      </c>
      <c r="D11" s="23" t="s">
        <v>448</v>
      </c>
    </row>
    <row r="12" customFormat="false" ht="15" hidden="false" customHeight="false" outlineLevel="0" collapsed="false">
      <c r="A12" s="31" t="s">
        <v>449</v>
      </c>
      <c r="B12" s="24" t="s">
        <v>316</v>
      </c>
      <c r="C12" s="24" t="s">
        <v>450</v>
      </c>
      <c r="D12" s="24" t="s">
        <v>451</v>
      </c>
    </row>
    <row r="13" customFormat="false" ht="15" hidden="false" customHeight="false" outlineLevel="0" collapsed="false">
      <c r="A13" s="30" t="s">
        <v>452</v>
      </c>
      <c r="B13" s="23" t="s">
        <v>453</v>
      </c>
      <c r="C13" s="23" t="s">
        <v>454</v>
      </c>
      <c r="D13" s="23" t="s">
        <v>455</v>
      </c>
    </row>
    <row r="14" customFormat="false" ht="15" hidden="false" customHeight="false" outlineLevel="0" collapsed="false">
      <c r="A14" s="31" t="s">
        <v>456</v>
      </c>
      <c r="B14" s="24" t="s">
        <v>457</v>
      </c>
      <c r="C14" s="24" t="s">
        <v>458</v>
      </c>
      <c r="D14" s="24" t="s">
        <v>459</v>
      </c>
    </row>
    <row r="15" customFormat="false" ht="15" hidden="false" customHeight="false" outlineLevel="0" collapsed="false">
      <c r="A15" s="30" t="s">
        <v>460</v>
      </c>
      <c r="B15" s="23" t="s">
        <v>225</v>
      </c>
      <c r="C15" s="23" t="s">
        <v>432</v>
      </c>
      <c r="D15" s="23" t="s">
        <v>461</v>
      </c>
    </row>
    <row r="16" customFormat="false" ht="22.35" hidden="false" customHeight="false" outlineLevel="0" collapsed="false">
      <c r="A16" s="31" t="s">
        <v>462</v>
      </c>
      <c r="B16" s="24" t="s">
        <v>463</v>
      </c>
      <c r="C16" s="24" t="s">
        <v>432</v>
      </c>
      <c r="D16" s="24" t="s">
        <v>464</v>
      </c>
    </row>
    <row r="17" customFormat="false" ht="15" hidden="false" customHeight="false" outlineLevel="0" collapsed="false">
      <c r="A17" s="30" t="s">
        <v>465</v>
      </c>
      <c r="B17" s="23" t="s">
        <v>466</v>
      </c>
      <c r="C17" s="23" t="s">
        <v>432</v>
      </c>
      <c r="D17" s="23" t="s">
        <v>467</v>
      </c>
    </row>
    <row r="18" customFormat="false" ht="22.35" hidden="false" customHeight="false" outlineLevel="0" collapsed="false">
      <c r="A18" s="31" t="s">
        <v>468</v>
      </c>
      <c r="B18" s="24" t="s">
        <v>469</v>
      </c>
      <c r="C18" s="24" t="s">
        <v>470</v>
      </c>
      <c r="D18" s="24" t="s">
        <v>471</v>
      </c>
    </row>
    <row r="19" customFormat="false" ht="22.35" hidden="false" customHeight="false" outlineLevel="0" collapsed="false">
      <c r="A19" s="30" t="s">
        <v>472</v>
      </c>
      <c r="B19" s="23" t="s">
        <v>473</v>
      </c>
      <c r="C19" s="23" t="s">
        <v>432</v>
      </c>
      <c r="D19" s="23" t="s">
        <v>474</v>
      </c>
    </row>
    <row r="20" customFormat="false" ht="22.35" hidden="false" customHeight="false" outlineLevel="0" collapsed="false">
      <c r="A20" s="31" t="s">
        <v>475</v>
      </c>
      <c r="B20" s="24" t="s">
        <v>191</v>
      </c>
      <c r="C20" s="24" t="s">
        <v>458</v>
      </c>
      <c r="D20" s="24" t="s">
        <v>476</v>
      </c>
    </row>
    <row r="21" customFormat="false" ht="22.35" hidden="false" customHeight="false" outlineLevel="0" collapsed="false">
      <c r="A21" s="30" t="s">
        <v>477</v>
      </c>
      <c r="B21" s="23" t="s">
        <v>478</v>
      </c>
      <c r="C21" s="23" t="s">
        <v>479</v>
      </c>
      <c r="D21" s="23" t="s">
        <v>480</v>
      </c>
    </row>
    <row r="22" customFormat="false" ht="15" hidden="false" customHeight="false" outlineLevel="0" collapsed="false">
      <c r="A22" s="31" t="s">
        <v>481</v>
      </c>
      <c r="B22" s="24" t="s">
        <v>482</v>
      </c>
      <c r="C22" s="24" t="s">
        <v>432</v>
      </c>
      <c r="D22" s="24" t="s">
        <v>483</v>
      </c>
    </row>
    <row r="23" customFormat="false" ht="22.35" hidden="false" customHeight="false" outlineLevel="0" collapsed="false">
      <c r="A23" s="30" t="s">
        <v>484</v>
      </c>
      <c r="B23" s="23" t="s">
        <v>485</v>
      </c>
      <c r="C23" s="23" t="s">
        <v>486</v>
      </c>
      <c r="D23" s="23" t="s">
        <v>487</v>
      </c>
    </row>
    <row r="24" customFormat="false" ht="22.35" hidden="false" customHeight="false" outlineLevel="0" collapsed="false">
      <c r="A24" s="31" t="s">
        <v>488</v>
      </c>
      <c r="B24" s="24" t="s">
        <v>93</v>
      </c>
      <c r="C24" s="24" t="s">
        <v>432</v>
      </c>
      <c r="D24" s="24" t="s">
        <v>489</v>
      </c>
    </row>
    <row r="25" customFormat="false" ht="22.35" hidden="false" customHeight="false" outlineLevel="0" collapsed="false">
      <c r="A25" s="30" t="s">
        <v>490</v>
      </c>
      <c r="B25" s="23" t="s">
        <v>491</v>
      </c>
      <c r="C25" s="23" t="s">
        <v>397</v>
      </c>
      <c r="D25" s="23" t="s">
        <v>492</v>
      </c>
    </row>
    <row r="26" customFormat="false" ht="15" hidden="false" customHeight="false" outlineLevel="0" collapsed="false">
      <c r="A26" s="31" t="s">
        <v>493</v>
      </c>
      <c r="B26" s="24" t="s">
        <v>494</v>
      </c>
      <c r="C26" s="24" t="s">
        <v>432</v>
      </c>
      <c r="D26" s="24" t="s">
        <v>495</v>
      </c>
    </row>
    <row r="27" customFormat="false" ht="22.35" hidden="false" customHeight="false" outlineLevel="0" collapsed="false">
      <c r="A27" s="30" t="s">
        <v>496</v>
      </c>
      <c r="B27" s="23" t="s">
        <v>497</v>
      </c>
      <c r="C27" s="23" t="s">
        <v>498</v>
      </c>
      <c r="D27" s="23" t="s">
        <v>499</v>
      </c>
    </row>
    <row r="28" customFormat="false" ht="22.35" hidden="false" customHeight="false" outlineLevel="0" collapsed="false">
      <c r="A28" s="31" t="s">
        <v>500</v>
      </c>
      <c r="B28" s="24" t="s">
        <v>501</v>
      </c>
      <c r="C28" s="24" t="s">
        <v>502</v>
      </c>
      <c r="D28" s="24" t="s">
        <v>503</v>
      </c>
    </row>
    <row r="29" customFormat="false" ht="22.35" hidden="false" customHeight="false" outlineLevel="0" collapsed="false">
      <c r="A29" s="30" t="s">
        <v>504</v>
      </c>
      <c r="B29" s="23" t="s">
        <v>260</v>
      </c>
      <c r="C29" s="23" t="s">
        <v>432</v>
      </c>
      <c r="D29" s="23" t="s">
        <v>505</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QMSR Gap Assessment Workbook  -  Elder Consulting, LLC  -  &amp;A  -  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3" min="2" style="0" width="12"/>
    <col collapsed="false" customWidth="true" hidden="false" outlineLevel="0" max="4" min="4" style="0" width="10"/>
    <col collapsed="false" customWidth="true" hidden="false" outlineLevel="0" max="5" min="5" style="0" width="16"/>
    <col collapsed="false" customWidth="true" hidden="false" outlineLevel="0" max="6" min="6" style="0" width="26"/>
    <col collapsed="false" customWidth="true" hidden="false" outlineLevel="0" max="7" min="7" style="0" width="30"/>
  </cols>
  <sheetData>
    <row r="1" customFormat="false" ht="16.15" hidden="false" customHeight="false" outlineLevel="0" collapsed="false">
      <c r="A1" s="8" t="s">
        <v>506</v>
      </c>
    </row>
    <row r="2" customFormat="false" ht="15" hidden="false" customHeight="false" outlineLevel="0" collapsed="false">
      <c r="A2" s="2" t="s">
        <v>507</v>
      </c>
    </row>
    <row r="4" customFormat="false" ht="19.5" hidden="false" customHeight="true" outlineLevel="0" collapsed="false">
      <c r="A4" s="9" t="s">
        <v>508</v>
      </c>
      <c r="B4" s="9" t="s">
        <v>509</v>
      </c>
      <c r="C4" s="9" t="s">
        <v>510</v>
      </c>
      <c r="D4" s="9" t="s">
        <v>511</v>
      </c>
      <c r="E4" s="9" t="s">
        <v>53</v>
      </c>
      <c r="F4" s="9" t="s">
        <v>512</v>
      </c>
      <c r="G4" s="9" t="s">
        <v>513</v>
      </c>
    </row>
    <row r="5" customFormat="false" ht="15" hidden="false" customHeight="false" outlineLevel="0" collapsed="false">
      <c r="A5" s="10" t="s">
        <v>514</v>
      </c>
      <c r="B5" s="32" t="n">
        <v>1</v>
      </c>
      <c r="C5" s="33"/>
      <c r="D5" s="10" t="s">
        <v>515</v>
      </c>
      <c r="E5" s="10" t="str">
        <f aca="false">IF($C5="","not measured",IF($D5="&gt;=",IF($C5&gt;=$B5,"Green","Red"),IF($C5&lt;=$B5,"Green","Red")))</f>
        <v>not measured</v>
      </c>
      <c r="F5" s="10" t="s">
        <v>516</v>
      </c>
      <c r="G5" s="7"/>
    </row>
    <row r="6" customFormat="false" ht="15" hidden="false" customHeight="false" outlineLevel="0" collapsed="false">
      <c r="A6" s="12" t="s">
        <v>517</v>
      </c>
      <c r="B6" s="34" t="n">
        <v>0</v>
      </c>
      <c r="C6" s="35"/>
      <c r="D6" s="12" t="s">
        <v>518</v>
      </c>
      <c r="E6" s="12" t="str">
        <f aca="false">IF($C6="","not measured",IF($D6="&gt;=",IF($C6&gt;=$B6,"Green","Red"),IF($C6&lt;=$B6,"Green","Red")))</f>
        <v>not measured</v>
      </c>
      <c r="F6" s="12" t="s">
        <v>516</v>
      </c>
      <c r="G6" s="7"/>
    </row>
    <row r="7" customFormat="false" ht="15" hidden="false" customHeight="false" outlineLevel="0" collapsed="false">
      <c r="A7" s="10" t="s">
        <v>519</v>
      </c>
      <c r="B7" s="36" t="n">
        <v>15</v>
      </c>
      <c r="C7" s="35"/>
      <c r="D7" s="10" t="s">
        <v>518</v>
      </c>
      <c r="E7" s="10" t="str">
        <f aca="false">IF($C7="","not measured",IF($D7="&gt;=",IF($C7&gt;=$B7,"Green","Red"),IF($C7&lt;=$B7,"Green","Red")))</f>
        <v>not measured</v>
      </c>
      <c r="F7" s="10" t="s">
        <v>520</v>
      </c>
      <c r="G7" s="7"/>
    </row>
    <row r="8" customFormat="false" ht="15" hidden="false" customHeight="false" outlineLevel="0" collapsed="false">
      <c r="A8" s="12" t="s">
        <v>521</v>
      </c>
      <c r="B8" s="37" t="n">
        <v>1</v>
      </c>
      <c r="C8" s="33"/>
      <c r="D8" s="12" t="s">
        <v>515</v>
      </c>
      <c r="E8" s="12" t="str">
        <f aca="false">IF($C8="","not measured",IF($D8="&gt;=",IF($C8&gt;=$B8,"Green","Red"),IF($C8&lt;=$B8,"Green","Red")))</f>
        <v>not measured</v>
      </c>
      <c r="F8" s="12" t="s">
        <v>522</v>
      </c>
      <c r="G8" s="7"/>
    </row>
    <row r="9" customFormat="false" ht="15" hidden="false" customHeight="false" outlineLevel="0" collapsed="false">
      <c r="A9" s="10" t="s">
        <v>523</v>
      </c>
      <c r="B9" s="32" t="n">
        <v>1</v>
      </c>
      <c r="C9" s="33"/>
      <c r="D9" s="10" t="s">
        <v>515</v>
      </c>
      <c r="E9" s="10" t="str">
        <f aca="false">IF($C9="","not measured",IF($D9="&gt;=",IF($C9&gt;=$B9,"Green","Red"),IF($C9&lt;=$B9,"Green","Red")))</f>
        <v>not measured</v>
      </c>
      <c r="F9" s="10" t="s">
        <v>524</v>
      </c>
      <c r="G9" s="7"/>
    </row>
    <row r="10" customFormat="false" ht="15" hidden="false" customHeight="false" outlineLevel="0" collapsed="false">
      <c r="A10" s="12" t="s">
        <v>525</v>
      </c>
      <c r="B10" s="37" t="n">
        <v>1</v>
      </c>
      <c r="C10" s="33"/>
      <c r="D10" s="12" t="s">
        <v>515</v>
      </c>
      <c r="E10" s="12" t="str">
        <f aca="false">IF($C10="","not measured",IF($D10="&gt;=",IF($C10&gt;=$B10,"Green","Red"),IF($C10&lt;=$B10,"Green","Red")))</f>
        <v>not measured</v>
      </c>
      <c r="F10" s="12" t="s">
        <v>526</v>
      </c>
      <c r="G10" s="7"/>
    </row>
    <row r="11" customFormat="false" ht="15" hidden="false" customHeight="false" outlineLevel="0" collapsed="false">
      <c r="A11" s="10" t="s">
        <v>527</v>
      </c>
      <c r="B11" s="32" t="n">
        <v>1</v>
      </c>
      <c r="C11" s="33"/>
      <c r="D11" s="10" t="s">
        <v>515</v>
      </c>
      <c r="E11" s="10" t="str">
        <f aca="false">IF($C11="","not measured",IF($D11="&gt;=",IF($C11&gt;=$B11,"Green","Red"),IF($C11&lt;=$B11,"Green","Red")))</f>
        <v>not measured</v>
      </c>
      <c r="F11" s="10" t="s">
        <v>528</v>
      </c>
      <c r="G11" s="7"/>
    </row>
    <row r="12" customFormat="false" ht="15" hidden="false" customHeight="false" outlineLevel="0" collapsed="false">
      <c r="A12" s="12" t="s">
        <v>529</v>
      </c>
      <c r="B12" s="37" t="n">
        <v>1</v>
      </c>
      <c r="C12" s="33"/>
      <c r="D12" s="12" t="s">
        <v>515</v>
      </c>
      <c r="E12" s="12" t="str">
        <f aca="false">IF($C12="","not measured",IF($D12="&gt;=",IF($C12&gt;=$B12,"Green","Red"),IF($C12&lt;=$B12,"Green","Red")))</f>
        <v>not measured</v>
      </c>
      <c r="F12" s="12" t="s">
        <v>530</v>
      </c>
      <c r="G12" s="7"/>
    </row>
    <row r="13" customFormat="false" ht="15" hidden="false" customHeight="false" outlineLevel="0" collapsed="false">
      <c r="A13" s="10" t="s">
        <v>531</v>
      </c>
      <c r="B13" s="32" t="n">
        <v>1</v>
      </c>
      <c r="C13" s="33"/>
      <c r="D13" s="10" t="s">
        <v>515</v>
      </c>
      <c r="E13" s="10" t="str">
        <f aca="false">IF($C13="","not measured",IF($D13="&gt;=",IF($C13&gt;=$B13,"Green","Red"),IF($C13&lt;=$B13,"Green","Red")))</f>
        <v>not measured</v>
      </c>
      <c r="F13" s="10" t="s">
        <v>532</v>
      </c>
      <c r="G13" s="7"/>
    </row>
    <row r="14" customFormat="false" ht="15" hidden="false" customHeight="false" outlineLevel="0" collapsed="false">
      <c r="A14" s="12" t="s">
        <v>533</v>
      </c>
      <c r="B14" s="37" t="n">
        <v>1</v>
      </c>
      <c r="C14" s="33"/>
      <c r="D14" s="12" t="s">
        <v>515</v>
      </c>
      <c r="E14" s="12" t="str">
        <f aca="false">IF($C14="","not measured",IF($D14="&gt;=",IF($C14&gt;=$B14,"Green","Red"),IF($C14&lt;=$B14,"Green","Red")))</f>
        <v>not measured</v>
      </c>
      <c r="F14" s="12" t="s">
        <v>534</v>
      </c>
      <c r="G14" s="7"/>
    </row>
    <row r="15" customFormat="false" ht="15" hidden="false" customHeight="false" outlineLevel="0" collapsed="false">
      <c r="A15" s="10" t="s">
        <v>535</v>
      </c>
      <c r="B15" s="32" t="n">
        <v>0.95</v>
      </c>
      <c r="C15" s="33"/>
      <c r="D15" s="10" t="s">
        <v>515</v>
      </c>
      <c r="E15" s="10" t="str">
        <f aca="false">IF($C15="","not measured",IF($D15="&gt;=",IF($C15&gt;=$B15,"Green","Red"),IF($C15&lt;=$B15,"Green","Red")))</f>
        <v>not measured</v>
      </c>
      <c r="F15" s="10" t="s">
        <v>536</v>
      </c>
      <c r="G15" s="7"/>
    </row>
    <row r="16" customFormat="false" ht="15" hidden="false" customHeight="false" outlineLevel="0" collapsed="false">
      <c r="A16" s="12" t="s">
        <v>537</v>
      </c>
      <c r="B16" s="37" t="n">
        <v>1</v>
      </c>
      <c r="C16" s="33"/>
      <c r="D16" s="12" t="s">
        <v>515</v>
      </c>
      <c r="E16" s="12" t="str">
        <f aca="false">IF($C16="","not measured",IF($D16="&gt;=",IF($C16&gt;=$B16,"Green","Red"),IF($C16&lt;=$B16,"Green","Red")))</f>
        <v>not measured</v>
      </c>
      <c r="F16" s="12" t="s">
        <v>538</v>
      </c>
      <c r="G16" s="7"/>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QMSR Gap Assessment Workbook  -  Elder Consulting, LLC  -  &amp;A  -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4"/>
    <col collapsed="false" customWidth="true" hidden="false" outlineLevel="0" max="3" min="3" style="0" width="50"/>
    <col collapsed="false" customWidth="true" hidden="false" outlineLevel="0" max="4" min="4" style="0" width="30"/>
    <col collapsed="false" customWidth="true" hidden="false" outlineLevel="0" max="5" min="5" style="0" width="14"/>
    <col collapsed="false" customWidth="true" hidden="false" outlineLevel="0" max="6" min="6" style="0" width="18"/>
    <col collapsed="false" customWidth="true" hidden="false" outlineLevel="0" max="7" min="7" style="0" width="12"/>
    <col collapsed="false" customWidth="true" hidden="false" outlineLevel="0" max="8" min="8" style="0" width="14"/>
  </cols>
  <sheetData>
    <row r="1" customFormat="false" ht="16.15" hidden="false" customHeight="false" outlineLevel="0" collapsed="false">
      <c r="A1" s="8" t="s">
        <v>539</v>
      </c>
    </row>
    <row r="2" customFormat="false" ht="15" hidden="false" customHeight="false" outlineLevel="0" collapsed="false">
      <c r="A2" s="2" t="s">
        <v>540</v>
      </c>
    </row>
    <row r="4" customFormat="false" ht="24" hidden="false" customHeight="true" outlineLevel="0" collapsed="false">
      <c r="A4" s="9" t="s">
        <v>541</v>
      </c>
      <c r="B4" s="9" t="s">
        <v>542</v>
      </c>
      <c r="C4" s="9" t="s">
        <v>543</v>
      </c>
      <c r="D4" s="9" t="s">
        <v>544</v>
      </c>
      <c r="E4" s="9" t="s">
        <v>545</v>
      </c>
      <c r="F4" s="9" t="s">
        <v>47</v>
      </c>
      <c r="G4" s="9" t="s">
        <v>71</v>
      </c>
      <c r="H4" s="9" t="s">
        <v>53</v>
      </c>
    </row>
    <row r="5" customFormat="false" ht="55.5" hidden="false" customHeight="true" outlineLevel="0" collapsed="false">
      <c r="A5" s="27" t="s">
        <v>546</v>
      </c>
      <c r="B5" s="10" t="s">
        <v>547</v>
      </c>
      <c r="C5" s="10" t="s">
        <v>548</v>
      </c>
      <c r="D5" s="10" t="s">
        <v>549</v>
      </c>
      <c r="E5" s="10" t="s">
        <v>550</v>
      </c>
      <c r="F5" s="7"/>
      <c r="G5" s="7"/>
      <c r="H5" s="7"/>
    </row>
    <row r="6" customFormat="false" ht="55.5" hidden="false" customHeight="true" outlineLevel="0" collapsed="false">
      <c r="A6" s="28" t="s">
        <v>551</v>
      </c>
      <c r="B6" s="12" t="s">
        <v>552</v>
      </c>
      <c r="C6" s="12" t="s">
        <v>553</v>
      </c>
      <c r="D6" s="12" t="s">
        <v>554</v>
      </c>
      <c r="E6" s="12" t="s">
        <v>555</v>
      </c>
      <c r="F6" s="7"/>
      <c r="G6" s="7"/>
      <c r="H6" s="7"/>
    </row>
    <row r="7" customFormat="false" ht="55.5" hidden="false" customHeight="true" outlineLevel="0" collapsed="false">
      <c r="A7" s="27" t="s">
        <v>556</v>
      </c>
      <c r="B7" s="10" t="s">
        <v>557</v>
      </c>
      <c r="C7" s="10" t="s">
        <v>558</v>
      </c>
      <c r="D7" s="10" t="s">
        <v>559</v>
      </c>
      <c r="E7" s="10" t="s">
        <v>560</v>
      </c>
      <c r="F7" s="7"/>
      <c r="G7" s="7"/>
      <c r="H7" s="7"/>
    </row>
    <row r="8" customFormat="false" ht="55.5" hidden="false" customHeight="true" outlineLevel="0" collapsed="false">
      <c r="A8" s="28" t="s">
        <v>561</v>
      </c>
      <c r="B8" s="12" t="s">
        <v>562</v>
      </c>
      <c r="C8" s="12" t="s">
        <v>563</v>
      </c>
      <c r="D8" s="12" t="s">
        <v>564</v>
      </c>
      <c r="E8" s="12" t="s">
        <v>565</v>
      </c>
      <c r="F8" s="7"/>
      <c r="G8" s="7"/>
      <c r="H8" s="7"/>
    </row>
    <row r="9" customFormat="false" ht="55.5" hidden="false" customHeight="true" outlineLevel="0" collapsed="false">
      <c r="A9" s="27" t="s">
        <v>566</v>
      </c>
      <c r="B9" s="10" t="s">
        <v>567</v>
      </c>
      <c r="C9" s="10" t="s">
        <v>568</v>
      </c>
      <c r="D9" s="10" t="s">
        <v>569</v>
      </c>
      <c r="E9" s="10" t="s">
        <v>570</v>
      </c>
      <c r="F9" s="7"/>
      <c r="G9" s="7"/>
      <c r="H9" s="7"/>
    </row>
    <row r="10" customFormat="false" ht="55.5" hidden="false" customHeight="true" outlineLevel="0" collapsed="false">
      <c r="A10" s="28" t="s">
        <v>571</v>
      </c>
      <c r="B10" s="12" t="s">
        <v>572</v>
      </c>
      <c r="C10" s="12" t="s">
        <v>573</v>
      </c>
      <c r="D10" s="12" t="s">
        <v>574</v>
      </c>
      <c r="E10" s="12" t="s">
        <v>575</v>
      </c>
      <c r="F10" s="7"/>
      <c r="G10" s="7"/>
      <c r="H10" s="7"/>
    </row>
  </sheetData>
  <dataValidations count="1">
    <dataValidation allowBlank="true" errorStyle="stop" operator="between" showDropDown="false" showErrorMessage="false" showInputMessage="false" sqref="H5:H10" type="list">
      <formula1>"Not started,In progress,Complete"</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QMSR Gap Assessment Workbook  -  Elder Consulting, LLC  -  &amp;A  -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2026-09-16T11:51:27Z</dcterms:created>
  <dc:creator>openpyxl</dc:creator>
  <dc:description/>
  <dc:language>en-US</dc:language>
  <cp:lastModifiedBy/>
  <dcterms:modified xsi:type="dcterms:W3CDTF">2026-09-16T11:51:27Z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